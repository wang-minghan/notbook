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45" windowHeight="9165" tabRatio="600" firstSheet="0" activeTab="5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'01_员工名单'!$A$4:$G$48</definedName>
    <definedName name="_xlnm._FilterDatabase" localSheetId="3" hidden="1">'02_组织单元'!$A$4:$N$25</definedName>
    <definedName name="_xlnm._FilterDatabase" localSheetId="4" hidden="1">'03_岗位字典'!$A$4:$K$83</definedName>
    <definedName name="_xlnm._FilterDatabase" localSheetId="5" hidden="1">'04_RACI职责矩阵'!$A$4:$AC$86</definedName>
    <definedName name="_xlnm._FilterDatabase" localSheetId="6" hidden="1">'05_确认清单'!$A$4:$L$64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40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Microsoft YaHei"/>
      <charset val="134"/>
      <color rgb="FF44546A"/>
      <sz val="10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Microsoft YaHei"/>
      <charset val="134"/>
      <color rgb="FF262626"/>
      <sz val="10"/>
    </font>
    <font>
      <name val="宋体"/>
      <charset val="134"/>
      <sz val="11"/>
      <scheme val="minor"/>
    </font>
    <font>
      <name val="Arial"/>
      <charset val="134"/>
      <sz val="11"/>
    </font>
    <font>
      <name val="Arial"/>
      <charset val="134"/>
      <sz val="10"/>
    </font>
    <font>
      <name val="Arial"/>
      <charset val="134"/>
      <b val="1"/>
      <sz val="10"/>
    </font>
    <font>
      <name val="Microsoft YaHei"/>
      <charset val="134"/>
      <b val="1"/>
      <sz val="10"/>
    </font>
    <font>
      <name val="微软雅黑"/>
      <charset val="134"/>
      <b val="1"/>
      <color rgb="FF163A5F"/>
      <sz val="16"/>
    </font>
    <font>
      <name val="微软雅黑"/>
      <charset val="134"/>
      <color rgb="FF526277"/>
      <sz val="10"/>
    </font>
    <font>
      <name val="Microsoft YaHei"/>
      <charset val="134"/>
      <b val="1"/>
      <color rgb="FF1F4E78"/>
      <sz val="10"/>
    </font>
    <font>
      <name val="Microsoft YaHei"/>
      <charset val="134"/>
      <i val="1"/>
      <color rgb="FF9C65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sz val="10"/>
    </font>
    <font>
      <name val="Microsoft YaHei"/>
      <charset val="134"/>
      <b val="1"/>
      <sz val="16"/>
    </font>
    <font>
      <name val="微软雅黑"/>
      <charset val="134"/>
      <sz val="10"/>
    </font>
    <font>
      <name val="宋体"/>
      <charset val="134"/>
      <sz val="10"/>
    </font>
  </fonts>
  <fills count="43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12" borderId="5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6" applyAlignment="1">
      <alignment vertical="center"/>
    </xf>
    <xf numFmtId="0" fontId="24" fillId="0" borderId="7" applyAlignment="1">
      <alignment vertical="center"/>
    </xf>
    <xf numFmtId="0" fontId="24" fillId="0" borderId="0" applyAlignment="1">
      <alignment vertical="center"/>
    </xf>
    <xf numFmtId="0" fontId="25" fillId="13" borderId="8" applyAlignment="1">
      <alignment vertical="center"/>
    </xf>
    <xf numFmtId="0" fontId="26" fillId="14" borderId="9" applyAlignment="1">
      <alignment vertical="center"/>
    </xf>
    <xf numFmtId="0" fontId="27" fillId="14" borderId="8" applyAlignment="1">
      <alignment vertical="center"/>
    </xf>
    <xf numFmtId="0" fontId="28" fillId="15" borderId="10" applyAlignment="1">
      <alignment vertical="center"/>
    </xf>
    <xf numFmtId="0" fontId="29" fillId="0" borderId="11" applyAlignment="1">
      <alignment vertical="center"/>
    </xf>
    <xf numFmtId="0" fontId="30" fillId="0" borderId="12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4" fillId="19" borderId="0" applyAlignment="1">
      <alignment vertical="center"/>
    </xf>
    <xf numFmtId="0" fontId="35" fillId="20" borderId="0" applyAlignment="1">
      <alignment vertical="center"/>
    </xf>
    <xf numFmtId="0" fontId="35" fillId="21" borderId="0" applyAlignment="1">
      <alignment vertical="center"/>
    </xf>
    <xf numFmtId="0" fontId="34" fillId="22" borderId="0" applyAlignment="1">
      <alignment vertical="center"/>
    </xf>
    <xf numFmtId="0" fontId="34" fillId="23" borderId="0" applyAlignment="1">
      <alignment vertical="center"/>
    </xf>
    <xf numFmtId="0" fontId="35" fillId="24" borderId="0" applyAlignment="1">
      <alignment vertical="center"/>
    </xf>
    <xf numFmtId="0" fontId="35" fillId="25" borderId="0" applyAlignment="1">
      <alignment vertical="center"/>
    </xf>
    <xf numFmtId="0" fontId="34" fillId="26" borderId="0" applyAlignment="1">
      <alignment vertical="center"/>
    </xf>
    <xf numFmtId="0" fontId="34" fillId="27" borderId="0" applyAlignment="1">
      <alignment vertical="center"/>
    </xf>
    <xf numFmtId="0" fontId="35" fillId="28" borderId="0" applyAlignment="1">
      <alignment vertical="center"/>
    </xf>
    <xf numFmtId="0" fontId="35" fillId="29" borderId="0" applyAlignment="1">
      <alignment vertical="center"/>
    </xf>
    <xf numFmtId="0" fontId="34" fillId="30" borderId="0" applyAlignment="1">
      <alignment vertical="center"/>
    </xf>
    <xf numFmtId="0" fontId="34" fillId="31" borderId="0" applyAlignment="1">
      <alignment vertical="center"/>
    </xf>
    <xf numFmtId="0" fontId="35" fillId="32" borderId="0" applyAlignment="1">
      <alignment vertical="center"/>
    </xf>
    <xf numFmtId="0" fontId="35" fillId="33" borderId="0" applyAlignment="1">
      <alignment vertical="center"/>
    </xf>
    <xf numFmtId="0" fontId="34" fillId="34" borderId="0" applyAlignment="1">
      <alignment vertical="center"/>
    </xf>
    <xf numFmtId="0" fontId="34" fillId="35" borderId="0" applyAlignment="1">
      <alignment vertical="center"/>
    </xf>
    <xf numFmtId="0" fontId="35" fillId="36" borderId="0" applyAlignment="1">
      <alignment vertical="center"/>
    </xf>
    <xf numFmtId="0" fontId="35" fillId="37" borderId="0" applyAlignment="1">
      <alignment vertical="center"/>
    </xf>
    <xf numFmtId="0" fontId="34" fillId="38" borderId="0" applyAlignment="1">
      <alignment vertical="center"/>
    </xf>
    <xf numFmtId="0" fontId="34" fillId="39" borderId="0" applyAlignment="1">
      <alignment vertical="center"/>
    </xf>
    <xf numFmtId="0" fontId="35" fillId="40" borderId="0" applyAlignment="1">
      <alignment vertical="center"/>
    </xf>
    <xf numFmtId="0" fontId="35" fillId="41" borderId="0" applyAlignment="1">
      <alignment vertical="center"/>
    </xf>
    <xf numFmtId="0" fontId="34" fillId="42" borderId="0" applyAlignment="1">
      <alignment vertical="center"/>
    </xf>
  </cellStyleXfs>
  <cellXfs count="10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top" wrapText="1"/>
    </xf>
    <xf numFmtId="164" fontId="7" fillId="5" borderId="1" applyAlignment="1" pivotButton="0" quotePrefix="0" xfId="0">
      <alignment vertical="top" wrapText="1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0" fillId="6" borderId="0" pivotButton="0" quotePrefix="0" xfId="0"/>
    <xf numFmtId="0" fontId="4" fillId="4" borderId="0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  <xf numFmtId="0" fontId="8" fillId="7" borderId="0" applyAlignment="1" pivotButton="0" quotePrefix="0" xfId="0">
      <alignment horizontal="center"/>
    </xf>
    <xf numFmtId="164" fontId="6" fillId="6" borderId="1" applyAlignment="1" pivotButton="0" quotePrefix="0" xfId="0">
      <alignment horizontal="center" vertical="center" wrapText="1"/>
    </xf>
    <xf numFmtId="0" fontId="8" fillId="6" borderId="0" applyAlignment="1" pivotButton="0" quotePrefix="0" xfId="0">
      <alignment vertical="center" wrapText="1"/>
    </xf>
    <xf numFmtId="0" fontId="8" fillId="7" borderId="0" applyAlignment="1" pivotButton="0" quotePrefix="0" xfId="0">
      <alignment horizontal="center"/>
    </xf>
    <xf numFmtId="0" fontId="10" fillId="6" borderId="1" applyAlignment="1" pivotButton="0" quotePrefix="0" xfId="0">
      <alignment horizontal="center" vertical="top" wrapText="1"/>
    </xf>
    <xf numFmtId="0" fontId="11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top" wrapText="1"/>
    </xf>
    <xf numFmtId="164" fontId="6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/>
    </xf>
    <xf numFmtId="0" fontId="11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8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8" fillId="6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8" fillId="6" borderId="0" pivotButton="0" quotePrefix="0" xfId="0"/>
    <xf numFmtId="0" fontId="9" fillId="6" borderId="0" pivotButton="0" quotePrefix="0" xfId="0"/>
    <xf numFmtId="0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top" wrapText="1"/>
    </xf>
    <xf numFmtId="0" fontId="6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top" wrapText="1"/>
    </xf>
    <xf numFmtId="0" fontId="6" fillId="7" borderId="2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applyAlignment="1" pivotButton="0" quotePrefix="0" xfId="0">
      <alignment wrapText="1"/>
    </xf>
    <xf numFmtId="0" fontId="5" fillId="8" borderId="0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6" fillId="9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2" fillId="5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16" fillId="10" borderId="0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vertical="top" wrapText="1"/>
    </xf>
    <xf numFmtId="164" fontId="7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b val="1"/>
        <color rgb="FFC00000"/>
      </font>
      <fill>
        <patternFill patternType="solid">
          <fgColor rgb="FFFCE4D6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color rgb="FF7F7F7F"/>
      </font>
      <fill>
        <patternFill patternType="solid">
          <fgColor rgb="FFF2F2F2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T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24765000" cy="1428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activeCell="A1" sqref="A1"/>
      <selection pane="bottomLeft" activeCell="C25" sqref="C25:J25"/>
    </sheetView>
  </sheetViews>
  <sheetFormatPr baseColWidth="8" defaultColWidth="9" defaultRowHeight="13.5"/>
  <cols>
    <col width="20" customWidth="1" min="1" max="1"/>
    <col width="18" customWidth="1" min="2" max="10"/>
  </cols>
  <sheetData>
    <row r="1" ht="30" customHeight="1">
      <c r="A1" s="7" t="inlineStr">
        <is>
          <t>鑫犇电子有限公司｜组织架构与职责矩阵模板</t>
        </is>
      </c>
    </row>
    <row r="2" ht="24" customHeight="1">
      <c r="A2" s="8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/>
    <row r="4" ht="30" customHeight="1">
      <c r="A4" s="80" t="inlineStr">
        <is>
          <t>模板使用顺序</t>
        </is>
      </c>
    </row>
    <row r="5" ht="24" customHeight="1">
      <c r="A5" s="9" t="inlineStr">
        <is>
          <t>步骤</t>
        </is>
      </c>
      <c r="B5" s="9" t="inlineStr">
        <is>
          <t>工作表</t>
        </is>
      </c>
      <c r="C5" s="9" t="inlineStr">
        <is>
          <t>填写要求</t>
        </is>
      </c>
      <c r="D5" s="81" t="n"/>
      <c r="E5" s="81" t="n"/>
      <c r="F5" s="81" t="n"/>
      <c r="G5" s="81" t="n"/>
      <c r="H5" s="81" t="n"/>
      <c r="I5" s="81" t="n"/>
      <c r="J5" s="82" t="n"/>
    </row>
    <row r="6" ht="24" customHeight="1">
      <c r="A6" s="11" t="inlineStr">
        <is>
          <t>1</t>
        </is>
      </c>
      <c r="B6" s="11" t="inlineStr">
        <is>
          <t>01_员工名单</t>
        </is>
      </c>
      <c r="C6" s="11" t="inlineStr">
        <is>
          <t>一行一个人；员工ID和上级员工ID是组织树的骨架。</t>
        </is>
      </c>
      <c r="D6" s="81" t="n"/>
      <c r="E6" s="81" t="n"/>
      <c r="F6" s="81" t="n"/>
      <c r="G6" s="81" t="n"/>
      <c r="H6" s="81" t="n"/>
      <c r="I6" s="81" t="n"/>
      <c r="J6" s="82" t="n"/>
    </row>
    <row r="7" ht="24" customHeight="1">
      <c r="A7" s="10" t="inlineStr">
        <is>
          <t>2</t>
        </is>
      </c>
      <c r="B7" s="10" t="inlineStr">
        <is>
          <t>02_组织单元</t>
        </is>
      </c>
      <c r="C7" s="10" t="inlineStr">
        <is>
          <t>一行一个公司/部门/班组组织单元；组织单元ID必须唯一。</t>
        </is>
      </c>
      <c r="D7" s="81" t="n"/>
      <c r="E7" s="81" t="n"/>
      <c r="F7" s="81" t="n"/>
      <c r="G7" s="81" t="n"/>
      <c r="H7" s="81" t="n"/>
      <c r="I7" s="81" t="n"/>
      <c r="J7" s="82" t="n"/>
    </row>
    <row r="8" ht="24" customHeight="1">
      <c r="A8" s="11" t="inlineStr">
        <is>
          <t>3</t>
        </is>
      </c>
      <c r="B8" s="11" t="inlineStr">
        <is>
          <t>03_岗位字典</t>
        </is>
      </c>
      <c r="C8" s="11" t="inlineStr">
        <is>
          <t>一行一个岗位；岗位ID用于后续职责、能力和替代人管理。</t>
        </is>
      </c>
      <c r="D8" s="81" t="n"/>
      <c r="E8" s="81" t="n"/>
      <c r="F8" s="81" t="n"/>
      <c r="G8" s="81" t="n"/>
      <c r="H8" s="81" t="n"/>
      <c r="I8" s="81" t="n"/>
      <c r="J8" s="82" t="n"/>
    </row>
    <row r="9" ht="24" customHeight="1">
      <c r="A9" s="10" t="inlineStr">
        <is>
          <t>4</t>
        </is>
      </c>
      <c r="B9" s="10" t="inlineStr">
        <is>
          <t>04_RACI职责矩阵</t>
        </is>
      </c>
      <c r="C9" s="10" t="inlineStr">
        <is>
          <t>一行一项管理活动；每行只能有一个A，至少一个R。</t>
        </is>
      </c>
      <c r="D9" s="81" t="n"/>
      <c r="E9" s="81" t="n"/>
      <c r="F9" s="81" t="n"/>
      <c r="G9" s="81" t="n"/>
      <c r="H9" s="81" t="n"/>
      <c r="I9" s="81" t="n"/>
      <c r="J9" s="82" t="n"/>
    </row>
    <row r="10" ht="24" customHeight="1">
      <c r="A10" s="11" t="inlineStr">
        <is>
          <t>5</t>
        </is>
      </c>
      <c r="B10" s="11" t="inlineStr">
        <is>
          <t>05_确认清单</t>
        </is>
      </c>
      <c r="C10" s="11" t="inlineStr">
        <is>
          <t>将负责人、审批权、兼岗和边界争议登记，不要靠口头记忆。</t>
        </is>
      </c>
      <c r="D10" s="81" t="n"/>
      <c r="E10" s="81" t="n"/>
      <c r="F10" s="81" t="n"/>
      <c r="G10" s="81" t="n"/>
      <c r="H10" s="81" t="n"/>
      <c r="I10" s="81" t="n"/>
      <c r="J10" s="82" t="n"/>
    </row>
    <row r="11" ht="24" customHeight="1"/>
    <row r="12" ht="24" customHeight="1"/>
    <row r="13" ht="24" customHeight="1">
      <c r="A13" s="80" t="inlineStr">
        <is>
          <t>质量规则（必须遵守）</t>
        </is>
      </c>
    </row>
    <row r="14" ht="24" customHeight="1">
      <c r="A14" s="83" t="inlineStr">
        <is>
          <t>• 组织树：根节点只有一个；除根节点外，每个人必须有且只有一个直接上级员工ID。</t>
        </is>
      </c>
      <c r="B14" s="81" t="n"/>
      <c r="C14" s="81" t="n"/>
      <c r="D14" s="81" t="n"/>
      <c r="E14" s="81" t="n"/>
      <c r="F14" s="81" t="n"/>
      <c r="G14" s="81" t="n"/>
      <c r="H14" s="81" t="n"/>
      <c r="I14" s="81" t="n"/>
      <c r="J14" s="82" t="n"/>
    </row>
    <row r="15" ht="24" customHeight="1">
      <c r="A15" s="84" t="inlineStr">
        <is>
          <t>• RACI：每项活动必须且只能有一个A；没有A的事项不能视为已授权；至少一个R负责执行。</t>
        </is>
      </c>
      <c r="B15" s="81" t="n"/>
      <c r="C15" s="81" t="n"/>
      <c r="D15" s="81" t="n"/>
      <c r="E15" s="81" t="n"/>
      <c r="F15" s="81" t="n"/>
      <c r="G15" s="81" t="n"/>
      <c r="H15" s="81" t="n"/>
      <c r="I15" s="81" t="n"/>
      <c r="J15" s="82" t="n"/>
    </row>
    <row r="16" ht="24" customHeight="1">
      <c r="A16" s="84" t="inlineStr">
        <is>
          <t>• 职责：A是最终对结果负责和有批准权的人，不是“参与过的人”；R是实际做事的人。</t>
        </is>
      </c>
      <c r="B16" s="81" t="n"/>
      <c r="C16" s="81" t="n"/>
      <c r="D16" s="81" t="n"/>
      <c r="E16" s="81" t="n"/>
      <c r="F16" s="81" t="n"/>
      <c r="G16" s="81" t="n"/>
      <c r="H16" s="81" t="n"/>
      <c r="I16" s="81" t="n"/>
      <c r="J16" s="82" t="n"/>
    </row>
    <row r="17" ht="24" customHeight="1">
      <c r="A17" s="83" t="inlineStr">
        <is>
          <t>• 状态：当前事实和未来规划分开；不确定信息统一写“待确认”，不得凭经验补全。</t>
        </is>
      </c>
      <c r="B17" s="81" t="n"/>
      <c r="C17" s="81" t="n"/>
      <c r="D17" s="81" t="n"/>
      <c r="E17" s="81" t="n"/>
      <c r="F17" s="81" t="n"/>
      <c r="G17" s="81" t="n"/>
      <c r="H17" s="81" t="n"/>
      <c r="I17" s="81" t="n"/>
      <c r="J17" s="82" t="n"/>
    </row>
    <row r="18" ht="24" customHeight="1">
      <c r="A18" s="83" t="inlineStr">
        <is>
          <t>• 版本：修改组织关系、岗位或职责矩阵时，填写变更日期、变更原因和确认人。</t>
        </is>
      </c>
      <c r="B18" s="81" t="n"/>
      <c r="C18" s="81" t="n"/>
      <c r="D18" s="81" t="n"/>
      <c r="E18" s="81" t="n"/>
      <c r="F18" s="81" t="n"/>
      <c r="G18" s="81" t="n"/>
      <c r="H18" s="81" t="n"/>
      <c r="I18" s="81" t="n"/>
      <c r="J18" s="82" t="n"/>
    </row>
    <row r="19" ht="24" customHeight="1"/>
    <row r="20" ht="24" customHeight="1"/>
    <row r="21" ht="24" customHeight="1">
      <c r="A21" s="80" t="inlineStr">
        <is>
          <t>自动检查看板</t>
        </is>
      </c>
    </row>
    <row r="22" ht="24" customHeight="1">
      <c r="A22" s="9" t="inlineStr">
        <is>
          <t>指标</t>
        </is>
      </c>
      <c r="B22" s="9" t="inlineStr">
        <is>
          <t>数值</t>
        </is>
      </c>
      <c r="C22" s="9" t="inlineStr">
        <is>
          <t>解释</t>
        </is>
      </c>
      <c r="D22" s="81" t="n"/>
      <c r="E22" s="81" t="n"/>
      <c r="F22" s="81" t="n"/>
      <c r="G22" s="81" t="n"/>
      <c r="H22" s="81" t="n"/>
      <c r="I22" s="81" t="n"/>
      <c r="J22" s="82" t="n"/>
    </row>
    <row r="23" ht="24" customHeight="1">
      <c r="A23" s="85" t="inlineStr">
        <is>
          <t>人员总数</t>
        </is>
      </c>
      <c r="B23" s="86">
        <f>COUNTIF('01_员工名单'!A5:A101,"&lt;&gt;")</f>
        <v/>
      </c>
      <c r="C23" s="87" t="inlineStr">
        <is>
          <t>填写数据后自动统计</t>
        </is>
      </c>
      <c r="D23" s="81" t="n"/>
      <c r="E23" s="81" t="n"/>
      <c r="F23" s="81" t="n"/>
      <c r="G23" s="81" t="n"/>
      <c r="H23" s="81" t="n"/>
      <c r="I23" s="81" t="n"/>
      <c r="J23" s="82" t="n"/>
    </row>
    <row r="24" ht="24" customHeight="1">
      <c r="A24" s="88" t="inlineStr">
        <is>
          <t>在岗人数</t>
        </is>
      </c>
      <c r="B24" s="89">
        <f>COUNTIFS('01_员工名单'!A5:A101,"&lt;&gt;",'01_员工名单'!G5:G101,"在岗")</f>
        <v/>
      </c>
      <c r="C24" s="90" t="inlineStr">
        <is>
          <t>填写数据后自动统计</t>
        </is>
      </c>
      <c r="D24" s="81" t="n"/>
      <c r="E24" s="81" t="n"/>
      <c r="F24" s="81" t="n"/>
      <c r="G24" s="81" t="n"/>
      <c r="H24" s="81" t="n"/>
      <c r="I24" s="81" t="n"/>
      <c r="J24" s="82" t="n"/>
    </row>
    <row r="25" ht="24" customHeight="1">
      <c r="A25" s="85" t="inlineStr">
        <is>
          <t>组织单元数</t>
        </is>
      </c>
      <c r="B25" s="86">
        <f>COUNTIF('02_组织单元'!A5:A52,"&lt;&gt;")</f>
        <v/>
      </c>
      <c r="C25" s="87" t="inlineStr">
        <is>
          <t>填写数据后自动统计</t>
        </is>
      </c>
      <c r="D25" s="81" t="n"/>
      <c r="E25" s="81" t="n"/>
      <c r="F25" s="81" t="n"/>
      <c r="G25" s="81" t="n"/>
      <c r="H25" s="81" t="n"/>
      <c r="I25" s="81" t="n"/>
      <c r="J25" s="82" t="n"/>
    </row>
    <row r="26" ht="24" customHeight="1">
      <c r="A26" s="88" t="inlineStr">
        <is>
          <t>岗位数</t>
        </is>
      </c>
      <c r="B26" s="89">
        <f>COUNTIF('03_岗位字典'!A5:A83,"&lt;&gt;")</f>
        <v/>
      </c>
      <c r="C26" s="90" t="inlineStr">
        <is>
          <t>填写数据后自动统计</t>
        </is>
      </c>
      <c r="D26" s="81" t="n"/>
      <c r="E26" s="81" t="n"/>
      <c r="F26" s="81" t="n"/>
      <c r="G26" s="81" t="n"/>
      <c r="H26" s="81" t="n"/>
      <c r="I26" s="81" t="n"/>
      <c r="J26" s="82" t="n"/>
    </row>
    <row r="27" ht="24" customHeight="1">
      <c r="A27" s="85" t="inlineStr">
        <is>
          <t>RACI事项数</t>
        </is>
      </c>
      <c r="B27" s="86">
        <f>COUNTIF('04_RACI职责矩阵'!A5:A86,"&lt;&gt;")</f>
        <v/>
      </c>
      <c r="C27" s="87" t="inlineStr">
        <is>
          <t>填写数据后自动统计</t>
        </is>
      </c>
      <c r="D27" s="81" t="n"/>
      <c r="E27" s="81" t="n"/>
      <c r="F27" s="81" t="n"/>
      <c r="G27" s="81" t="n"/>
      <c r="H27" s="81" t="n"/>
      <c r="I27" s="81" t="n"/>
      <c r="J27" s="82" t="n"/>
    </row>
    <row r="28" ht="24" customHeight="1">
      <c r="A28" s="88" t="inlineStr">
        <is>
          <t>RACI待修正事项</t>
        </is>
      </c>
      <c r="B28" s="89">
        <f>COUNTIF('04_RACI职责矩阵'!Z5:Z86,"&lt;&gt;OK")-COUNTBLANK('04_RACI职责矩阵'!A5:A86)</f>
        <v/>
      </c>
      <c r="C28" s="90" t="inlineStr">
        <is>
          <t>填写数据后自动统计</t>
        </is>
      </c>
      <c r="D28" s="81" t="n"/>
      <c r="E28" s="81" t="n"/>
      <c r="F28" s="81" t="n"/>
      <c r="G28" s="81" t="n"/>
      <c r="H28" s="81" t="n"/>
      <c r="I28" s="81" t="n"/>
      <c r="J28" s="82" t="n"/>
    </row>
    <row r="29" ht="24" customHeight="1"/>
    <row r="30" ht="24" customHeight="1">
      <c r="A30" s="91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>
      <c r="A31" s="91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topLeftCell="A15" zoomScale="85" zoomScaleNormal="85" workbookViewId="0">
      <selection activeCell="A1" sqref="A1"/>
    </sheetView>
  </sheetViews>
  <sheetFormatPr baseColWidth="8" defaultColWidth="9" defaultRowHeight="13.5" outlineLevelRow="2"/>
  <sheetData>
    <row r="1" ht="22.5" customHeight="1">
      <c r="A1" s="78" t="inlineStr">
        <is>
          <t>鑫犇电子有限公司｜现行组织架构图</t>
        </is>
      </c>
    </row>
    <row r="2" ht="16.5" customHeight="1">
      <c r="A2" s="79" t="n"/>
    </row>
    <row r="3" ht="16.5" customHeight="1">
      <c r="A3" s="79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pane ySplit="4" topLeftCell="A18" activePane="bottomLeft" state="frozen"/>
      <selection activeCell="A1" sqref="A1"/>
      <selection pane="bottomLeft" activeCell="E10" sqref="E10"/>
    </sheetView>
  </sheetViews>
  <sheetFormatPr baseColWidth="8" defaultColWidth="9" defaultRowHeight="13.5"/>
  <cols>
    <col width="14" customWidth="1" min="1" max="1"/>
    <col width="16" customWidth="1" min="2" max="3"/>
    <col width="24" customWidth="1" min="4" max="5"/>
    <col width="14" customWidth="1" min="6" max="6"/>
    <col width="12" customWidth="1" min="7" max="7"/>
  </cols>
  <sheetData>
    <row r="1" ht="30" customHeight="1">
      <c r="A1" s="7" t="inlineStr">
        <is>
          <t>01｜员工名单</t>
        </is>
      </c>
      <c r="H1" s="22" t="n"/>
      <c r="I1" s="22" t="n"/>
      <c r="J1" s="22" t="n"/>
      <c r="K1" s="22" t="n"/>
    </row>
    <row r="2" ht="24" customHeight="1">
      <c r="A2" s="23" t="inlineStr">
        <is>
          <t>用途：组织治理、职责分配和人员规模确认。完整人事敏感资料仅在人事主数据中管理。</t>
        </is>
      </c>
      <c r="H2" s="22" t="n"/>
      <c r="I2" s="22" t="n"/>
      <c r="J2" s="22" t="n"/>
      <c r="K2" s="22" t="n"/>
    </row>
    <row r="3" ht="8" customHeight="1">
      <c r="H3" s="22" t="n"/>
      <c r="I3" s="22" t="n"/>
      <c r="J3" s="22" t="n"/>
      <c r="K3" s="22" t="n"/>
    </row>
    <row r="4" ht="30" customHeight="1">
      <c r="A4" s="9" t="inlineStr">
        <is>
          <t>员工ID</t>
        </is>
      </c>
      <c r="B4" s="9" t="inlineStr">
        <is>
          <t>上级员工ID</t>
        </is>
      </c>
      <c r="C4" s="9" t="inlineStr">
        <is>
          <t>姓名</t>
        </is>
      </c>
      <c r="D4" s="9" t="inlineStr">
        <is>
          <t>岗位名称</t>
        </is>
      </c>
      <c r="E4" s="9" t="inlineStr">
        <is>
          <t>兼任岗位</t>
        </is>
      </c>
      <c r="F4" s="9" t="inlineStr">
        <is>
          <t>员工任职阶段</t>
        </is>
      </c>
      <c r="G4" s="9" t="inlineStr">
        <is>
          <t>人员状态</t>
        </is>
      </c>
      <c r="H4" s="22" t="n"/>
      <c r="I4" s="22" t="n"/>
      <c r="J4" s="22" t="n"/>
      <c r="K4" s="22" t="n"/>
    </row>
    <row r="5" ht="24" customHeight="1">
      <c r="A5" s="72" t="inlineStr">
        <is>
          <t>EMP-0001</t>
        </is>
      </c>
      <c r="B5" s="72" t="inlineStr">
        <is>
          <t>EMP-0017</t>
        </is>
      </c>
      <c r="C5" s="72" t="inlineStr">
        <is>
          <t>王小平</t>
        </is>
      </c>
      <c r="D5" s="72" t="inlineStr">
        <is>
          <t>冲压车间负责人</t>
        </is>
      </c>
      <c r="E5" s="73" t="n"/>
      <c r="F5" s="72" t="inlineStr">
        <is>
          <t>正式员工</t>
        </is>
      </c>
      <c r="G5" s="72" t="inlineStr">
        <is>
          <t>在岗</t>
        </is>
      </c>
      <c r="H5" s="22" t="n"/>
      <c r="I5" s="22" t="n"/>
      <c r="J5" s="22" t="n"/>
      <c r="K5" s="22" t="n"/>
    </row>
    <row r="6" ht="24" customHeight="1">
      <c r="A6" s="74" t="inlineStr">
        <is>
          <t>EMP-0002</t>
        </is>
      </c>
      <c r="B6" s="74" t="inlineStr">
        <is>
          <t>EMP-0017</t>
        </is>
      </c>
      <c r="C6" s="74" t="inlineStr">
        <is>
          <t>王立芳</t>
        </is>
      </c>
      <c r="D6" s="75" t="inlineStr">
        <is>
          <t>制程巡检组长</t>
        </is>
      </c>
      <c r="E6" s="76" t="n"/>
      <c r="F6" s="74" t="inlineStr">
        <is>
          <t>正式员工</t>
        </is>
      </c>
      <c r="G6" s="74" t="inlineStr">
        <is>
          <t>在岗</t>
        </is>
      </c>
      <c r="H6" s="22" t="n"/>
      <c r="I6" s="22" t="n"/>
      <c r="J6" s="22" t="n"/>
      <c r="K6" s="22" t="n"/>
    </row>
    <row r="7" ht="24" customHeight="1">
      <c r="A7" s="72" t="inlineStr">
        <is>
          <t>EMP-0003</t>
        </is>
      </c>
      <c r="B7" s="72" t="inlineStr">
        <is>
          <t>EMP-0002</t>
        </is>
      </c>
      <c r="C7" s="72" t="inlineStr">
        <is>
          <t>尹宗琴</t>
        </is>
      </c>
      <c r="D7" s="77" t="inlineStr">
        <is>
          <t>质检员（制程巡检）</t>
        </is>
      </c>
      <c r="E7" s="73" t="n"/>
      <c r="F7" s="72" t="inlineStr">
        <is>
          <t>正式员工</t>
        </is>
      </c>
      <c r="G7" s="72" t="inlineStr">
        <is>
          <t>在岗</t>
        </is>
      </c>
      <c r="H7" s="22" t="n"/>
      <c r="I7" s="22" t="n"/>
      <c r="J7" s="22" t="n"/>
      <c r="K7" s="22" t="n"/>
    </row>
    <row r="8" ht="24" customHeight="1">
      <c r="A8" s="74" t="inlineStr">
        <is>
          <t>EMP-0004</t>
        </is>
      </c>
      <c r="B8" s="74" t="inlineStr">
        <is>
          <t>EMP-0002</t>
        </is>
      </c>
      <c r="C8" s="74" t="inlineStr">
        <is>
          <t>伍伟</t>
        </is>
      </c>
      <c r="D8" s="75" t="inlineStr">
        <is>
          <t>质检员（制程巡检）</t>
        </is>
      </c>
      <c r="E8" s="76" t="n"/>
      <c r="F8" s="74" t="inlineStr">
        <is>
          <t>正式员工</t>
        </is>
      </c>
      <c r="G8" s="74" t="inlineStr">
        <is>
          <t>在岗</t>
        </is>
      </c>
      <c r="H8" s="22" t="n"/>
      <c r="I8" s="22" t="n"/>
      <c r="J8" s="22" t="n"/>
      <c r="K8" s="22" t="n"/>
    </row>
    <row r="9" ht="24" customHeight="1">
      <c r="A9" s="72" t="inlineStr">
        <is>
          <t>EMP-0005</t>
        </is>
      </c>
      <c r="B9" s="72" t="inlineStr">
        <is>
          <t>EMP-0002</t>
        </is>
      </c>
      <c r="C9" s="72" t="inlineStr">
        <is>
          <t>余永满</t>
        </is>
      </c>
      <c r="D9" s="72" t="inlineStr">
        <is>
          <t>质检员（制程巡检）</t>
        </is>
      </c>
      <c r="E9" s="73" t="n"/>
      <c r="F9" s="72" t="inlineStr">
        <is>
          <t>正式员工</t>
        </is>
      </c>
      <c r="G9" s="72" t="inlineStr">
        <is>
          <t>在岗</t>
        </is>
      </c>
      <c r="H9" s="22" t="n"/>
      <c r="I9" s="22" t="n"/>
      <c r="J9" s="22" t="n"/>
      <c r="K9" s="22" t="n"/>
    </row>
    <row r="10" ht="24" customHeight="1">
      <c r="A10" s="74" t="inlineStr">
        <is>
          <t>EMP-0006</t>
        </is>
      </c>
      <c r="B10" s="74" t="inlineStr">
        <is>
          <t>EMP-0002</t>
        </is>
      </c>
      <c r="C10" s="74" t="inlineStr">
        <is>
          <t>雷杰</t>
        </is>
      </c>
      <c r="D10" s="74" t="inlineStr">
        <is>
          <t>质检员（制程巡检）</t>
        </is>
      </c>
      <c r="E10" s="76" t="n"/>
      <c r="F10" s="74" t="inlineStr">
        <is>
          <t>正式员工</t>
        </is>
      </c>
      <c r="G10" s="74" t="inlineStr">
        <is>
          <t>在岗</t>
        </is>
      </c>
      <c r="H10" s="22" t="n"/>
      <c r="I10" s="22" t="n"/>
      <c r="J10" s="22" t="n"/>
      <c r="K10" s="22" t="n"/>
    </row>
    <row r="11" ht="24" customHeight="1">
      <c r="A11" s="72" t="inlineStr">
        <is>
          <t>EMP-0007</t>
        </is>
      </c>
      <c r="B11" s="72" t="inlineStr">
        <is>
          <t>EMP-0002</t>
        </is>
      </c>
      <c r="C11" s="72" t="inlineStr">
        <is>
          <t>李伟芳</t>
        </is>
      </c>
      <c r="D11" s="72" t="inlineStr">
        <is>
          <t>质检员（制程巡检）</t>
        </is>
      </c>
      <c r="E11" s="73" t="n"/>
      <c r="F11" s="72" t="inlineStr">
        <is>
          <t>正式员工</t>
        </is>
      </c>
      <c r="G11" s="72" t="inlineStr">
        <is>
          <t>在岗</t>
        </is>
      </c>
      <c r="H11" s="22" t="n"/>
      <c r="I11" s="22" t="n"/>
      <c r="J11" s="22" t="n"/>
      <c r="K11" s="22" t="n"/>
    </row>
    <row r="12" ht="24" customHeight="1">
      <c r="A12" s="74" t="inlineStr">
        <is>
          <t>EMP-0008</t>
        </is>
      </c>
      <c r="B12" s="74" t="inlineStr">
        <is>
          <t>EMP-0020</t>
        </is>
      </c>
      <c r="C12" s="74" t="inlineStr">
        <is>
          <t>余永珍</t>
        </is>
      </c>
      <c r="D12" s="74" t="inlineStr">
        <is>
          <t>炊事员</t>
        </is>
      </c>
      <c r="E12" s="76" t="n"/>
      <c r="F12" s="74" t="inlineStr">
        <is>
          <t>正式员工</t>
        </is>
      </c>
      <c r="G12" s="74" t="inlineStr">
        <is>
          <t>在岗</t>
        </is>
      </c>
      <c r="H12" s="22" t="n"/>
      <c r="I12" s="22" t="n"/>
      <c r="J12" s="22" t="n"/>
      <c r="K12" s="22" t="n"/>
    </row>
    <row r="13" ht="24" customHeight="1">
      <c r="A13" s="72" t="inlineStr">
        <is>
          <t>EMP-0009</t>
        </is>
      </c>
      <c r="B13" s="72" t="inlineStr">
        <is>
          <t>EMP-0020</t>
        </is>
      </c>
      <c r="C13" s="72" t="inlineStr">
        <is>
          <t>杨达友</t>
        </is>
      </c>
      <c r="D13" s="72" t="inlineStr">
        <is>
          <t>门卫</t>
        </is>
      </c>
      <c r="E13" s="73" t="n"/>
      <c r="F13" s="72" t="inlineStr">
        <is>
          <t>正式员工</t>
        </is>
      </c>
      <c r="G13" s="72" t="inlineStr">
        <is>
          <t>在岗</t>
        </is>
      </c>
      <c r="H13" s="22" t="n"/>
      <c r="I13" s="22" t="n"/>
      <c r="J13" s="22" t="n"/>
      <c r="K13" s="22" t="n"/>
    </row>
    <row r="14" ht="24" customHeight="1">
      <c r="A14" s="74" t="inlineStr">
        <is>
          <t>EMP-0010</t>
        </is>
      </c>
      <c r="B14" s="74" t="inlineStr">
        <is>
          <t>EMP-0020</t>
        </is>
      </c>
      <c r="C14" s="74" t="inlineStr">
        <is>
          <t>尹昌廷</t>
        </is>
      </c>
      <c r="D14" s="74" t="inlineStr">
        <is>
          <t>门卫</t>
        </is>
      </c>
      <c r="E14" s="76" t="n"/>
      <c r="F14" s="74" t="inlineStr">
        <is>
          <t>正式员工</t>
        </is>
      </c>
      <c r="G14" s="74" t="inlineStr">
        <is>
          <t>在岗</t>
        </is>
      </c>
      <c r="H14" s="22" t="n"/>
      <c r="I14" s="22" t="n"/>
      <c r="J14" s="22" t="n"/>
      <c r="K14" s="22" t="n"/>
    </row>
    <row r="15" ht="24" customHeight="1">
      <c r="A15" s="72" t="inlineStr">
        <is>
          <t>EMP-0011</t>
        </is>
      </c>
      <c r="B15" s="72" t="inlineStr">
        <is>
          <t>EMP-0013</t>
        </is>
      </c>
      <c r="C15" s="72" t="inlineStr">
        <is>
          <t>冯文举</t>
        </is>
      </c>
      <c r="D15" s="72" t="inlineStr">
        <is>
          <t>仓库员</t>
        </is>
      </c>
      <c r="E15" s="73" t="n"/>
      <c r="F15" s="72" t="inlineStr">
        <is>
          <t>正式员工</t>
        </is>
      </c>
      <c r="G15" s="72" t="inlineStr">
        <is>
          <t>在岗</t>
        </is>
      </c>
      <c r="H15" s="22" t="n"/>
      <c r="I15" s="22" t="n"/>
      <c r="J15" s="22" t="n"/>
      <c r="K15" s="22" t="n"/>
    </row>
    <row r="16" ht="24" customHeight="1">
      <c r="A16" s="74" t="inlineStr">
        <is>
          <t>EMP-0012</t>
        </is>
      </c>
      <c r="B16" s="74" t="inlineStr">
        <is>
          <t>EMP-0013</t>
        </is>
      </c>
      <c r="C16" s="74" t="inlineStr">
        <is>
          <t>蔡光怀</t>
        </is>
      </c>
      <c r="D16" s="74" t="inlineStr">
        <is>
          <t>包装工</t>
        </is>
      </c>
      <c r="E16" s="76" t="n"/>
      <c r="F16" s="74" t="inlineStr">
        <is>
          <t>正式员工</t>
        </is>
      </c>
      <c r="G16" s="74" t="inlineStr">
        <is>
          <t>在岗</t>
        </is>
      </c>
      <c r="H16" s="22" t="n"/>
      <c r="I16" s="22" t="n"/>
      <c r="J16" s="22" t="n"/>
      <c r="K16" s="22" t="n"/>
    </row>
    <row r="17" ht="32" customHeight="1">
      <c r="A17" s="72" t="inlineStr">
        <is>
          <t>EMP-0013</t>
        </is>
      </c>
      <c r="B17" s="72" t="inlineStr">
        <is>
          <t>EMP-0017</t>
        </is>
      </c>
      <c r="C17" s="72" t="inlineStr">
        <is>
          <t>王珊兰</t>
        </is>
      </c>
      <c r="D17" s="72" t="inlineStr">
        <is>
          <t>质检员（来料/出货检验）</t>
        </is>
      </c>
      <c r="E17" s="73" t="inlineStr">
        <is>
          <t>仓储组长;成品出货检验组长</t>
        </is>
      </c>
      <c r="F17" s="72" t="inlineStr">
        <is>
          <t>正式员工</t>
        </is>
      </c>
      <c r="G17" s="72" t="inlineStr">
        <is>
          <t>在岗</t>
        </is>
      </c>
      <c r="H17" s="22" t="n"/>
      <c r="I17" s="22" t="n"/>
      <c r="J17" s="22" t="n"/>
      <c r="K17" s="22" t="n"/>
    </row>
    <row r="18" ht="24" customHeight="1">
      <c r="A18" s="74" t="inlineStr">
        <is>
          <t>EMP-0014</t>
        </is>
      </c>
      <c r="B18" s="74" t="inlineStr">
        <is>
          <t>EMP-0013</t>
        </is>
      </c>
      <c r="C18" s="74" t="inlineStr">
        <is>
          <t>赵荔</t>
        </is>
      </c>
      <c r="D18" s="74" t="inlineStr">
        <is>
          <t>包装工</t>
        </is>
      </c>
      <c r="E18" s="76" t="n"/>
      <c r="F18" s="74" t="inlineStr">
        <is>
          <t>正式员工</t>
        </is>
      </c>
      <c r="G18" s="74" t="inlineStr">
        <is>
          <t>在岗</t>
        </is>
      </c>
      <c r="H18" s="22" t="n"/>
      <c r="I18" s="22" t="n"/>
      <c r="J18" s="22" t="n"/>
      <c r="K18" s="22" t="n"/>
    </row>
    <row r="19" ht="24" customHeight="1">
      <c r="A19" s="72" t="inlineStr">
        <is>
          <t>EMP-0015</t>
        </is>
      </c>
      <c r="B19" s="72" t="inlineStr">
        <is>
          <t>EMP-0019</t>
        </is>
      </c>
      <c r="C19" s="72" t="inlineStr">
        <is>
          <t>王秋红</t>
        </is>
      </c>
      <c r="D19" s="72" t="inlineStr">
        <is>
          <t>跟单员</t>
        </is>
      </c>
      <c r="E19" s="73" t="n"/>
      <c r="F19" s="72" t="inlineStr">
        <is>
          <t>正式员工</t>
        </is>
      </c>
      <c r="G19" s="72" t="inlineStr">
        <is>
          <t>在岗</t>
        </is>
      </c>
      <c r="H19" s="22" t="n"/>
      <c r="I19" s="22" t="n"/>
      <c r="J19" s="22" t="n"/>
      <c r="K19" s="22" t="n"/>
    </row>
    <row r="20" ht="32" customFormat="1" customHeight="1" s="62">
      <c r="A20" s="74" t="inlineStr">
        <is>
          <t>EMP-0016</t>
        </is>
      </c>
      <c r="B20" s="74" t="inlineStr">
        <is>
          <t>EMP-0017</t>
        </is>
      </c>
      <c r="C20" s="74" t="inlineStr">
        <is>
          <t>尹杰</t>
        </is>
      </c>
      <c r="D20" s="74" t="inlineStr">
        <is>
          <t>生产计划员</t>
        </is>
      </c>
      <c r="E20" s="74" t="inlineStr">
        <is>
          <t>采购员;人事员</t>
        </is>
      </c>
      <c r="F20" s="74" t="inlineStr">
        <is>
          <t>正式员工</t>
        </is>
      </c>
      <c r="G20" s="74" t="inlineStr">
        <is>
          <t>在岗</t>
        </is>
      </c>
      <c r="H20" s="70" t="n"/>
      <c r="I20" s="70" t="n"/>
      <c r="J20" s="70" t="n"/>
      <c r="K20" s="70" t="n"/>
    </row>
    <row r="21" ht="24" customHeight="1">
      <c r="A21" s="72" t="inlineStr">
        <is>
          <t>EMP-0017</t>
        </is>
      </c>
      <c r="B21" s="72" t="inlineStr">
        <is>
          <t>EMP-0019</t>
        </is>
      </c>
      <c r="C21" s="72" t="inlineStr">
        <is>
          <t>李天友</t>
        </is>
      </c>
      <c r="D21" s="72" t="inlineStr">
        <is>
          <t>品质部负责人</t>
        </is>
      </c>
      <c r="E21" s="72" t="inlineStr">
        <is>
          <t>生产部负责人</t>
        </is>
      </c>
      <c r="F21" s="73" t="inlineStr">
        <is>
          <t>正式员工</t>
        </is>
      </c>
      <c r="G21" s="72" t="inlineStr">
        <is>
          <t>在岗</t>
        </is>
      </c>
      <c r="H21" s="22" t="n"/>
      <c r="I21" s="22" t="n"/>
      <c r="J21" s="22" t="n"/>
      <c r="K21" s="22" t="n"/>
    </row>
    <row r="22" ht="24" customHeight="1">
      <c r="A22" s="74" t="inlineStr">
        <is>
          <t>EMP-0018</t>
        </is>
      </c>
      <c r="B22" s="74" t="inlineStr">
        <is>
          <t>EMP-0019</t>
        </is>
      </c>
      <c r="C22" s="74" t="inlineStr">
        <is>
          <t>刘东</t>
        </is>
      </c>
      <c r="D22" s="74" t="inlineStr">
        <is>
          <t>模具技术负责人</t>
        </is>
      </c>
      <c r="E22" s="74" t="n"/>
      <c r="F22" s="74" t="inlineStr">
        <is>
          <t>正式员工</t>
        </is>
      </c>
      <c r="G22" s="74" t="inlineStr">
        <is>
          <t>在岗</t>
        </is>
      </c>
      <c r="H22" s="22" t="n"/>
      <c r="I22" s="22" t="n"/>
      <c r="J22" s="22" t="n"/>
      <c r="K22" s="22" t="n"/>
    </row>
    <row r="23" ht="32" customHeight="1">
      <c r="A23" s="72" t="inlineStr">
        <is>
          <t>EMP-0019</t>
        </is>
      </c>
      <c r="B23" s="72" t="inlineStr">
        <is>
          <t>/</t>
        </is>
      </c>
      <c r="C23" s="72" t="inlineStr">
        <is>
          <t>王晓华</t>
        </is>
      </c>
      <c r="D23" s="72" t="inlineStr">
        <is>
          <t>总经理</t>
        </is>
      </c>
      <c r="E23" s="72" t="inlineStr">
        <is>
          <t>营运部负责人;行政部负责人</t>
        </is>
      </c>
      <c r="F23" s="73" t="inlineStr">
        <is>
          <t>正式员工</t>
        </is>
      </c>
      <c r="G23" s="72" t="inlineStr">
        <is>
          <t>在岗</t>
        </is>
      </c>
      <c r="H23" s="22" t="n"/>
      <c r="I23" s="22" t="n"/>
      <c r="J23" s="22" t="n"/>
      <c r="K23" s="22" t="n"/>
    </row>
    <row r="24" ht="28" customHeight="1">
      <c r="A24" s="74" t="inlineStr">
        <is>
          <t>EMP-0020</t>
        </is>
      </c>
      <c r="B24" s="74" t="inlineStr">
        <is>
          <t>/</t>
        </is>
      </c>
      <c r="C24" s="74" t="inlineStr">
        <is>
          <t>王勇</t>
        </is>
      </c>
      <c r="D24" s="74" t="inlineStr">
        <is>
          <t>董事长</t>
        </is>
      </c>
      <c r="E24" s="74" t="inlineStr">
        <is>
          <t>财务部负责人; 出纳;会计</t>
        </is>
      </c>
      <c r="F24" s="74" t="inlineStr">
        <is>
          <t>正式员工</t>
        </is>
      </c>
      <c r="G24" s="74" t="inlineStr">
        <is>
          <t>在岗</t>
        </is>
      </c>
      <c r="H24" s="22" t="n"/>
      <c r="I24" s="22" t="n"/>
      <c r="J24" s="22" t="n"/>
      <c r="K24" s="22" t="n"/>
    </row>
    <row r="25" ht="24" customHeight="1">
      <c r="A25" s="72" t="inlineStr">
        <is>
          <t>EMP-0021</t>
        </is>
      </c>
      <c r="B25" s="72" t="inlineStr">
        <is>
          <t>EMP-0017</t>
        </is>
      </c>
      <c r="C25" s="72" t="inlineStr">
        <is>
          <t>马金军</t>
        </is>
      </c>
      <c r="D25" s="72" t="inlineStr">
        <is>
          <t>清洗车间负责人</t>
        </is>
      </c>
      <c r="E25" s="73" t="n"/>
      <c r="F25" s="72" t="inlineStr">
        <is>
          <t>正式员工</t>
        </is>
      </c>
      <c r="G25" s="72" t="inlineStr">
        <is>
          <t>在岗</t>
        </is>
      </c>
      <c r="H25" s="22" t="n"/>
      <c r="I25" s="22" t="n"/>
      <c r="J25" s="22" t="n"/>
      <c r="K25" s="22" t="n"/>
    </row>
    <row r="26" ht="24" customHeight="1">
      <c r="A26" s="74" t="inlineStr">
        <is>
          <t>EMP-0022</t>
        </is>
      </c>
      <c r="B26" s="74" t="inlineStr">
        <is>
          <t>EMP-0021</t>
        </is>
      </c>
      <c r="C26" s="74" t="inlineStr">
        <is>
          <t>余永政</t>
        </is>
      </c>
      <c r="D26" s="74" t="inlineStr">
        <is>
          <t>清洗工</t>
        </is>
      </c>
      <c r="E26" s="76" t="n"/>
      <c r="F26" s="74" t="inlineStr">
        <is>
          <t>正式员工</t>
        </is>
      </c>
      <c r="G26" s="74" t="inlineStr">
        <is>
          <t>在岗</t>
        </is>
      </c>
      <c r="H26" s="22" t="n"/>
      <c r="I26" s="22" t="n"/>
      <c r="J26" s="22" t="n"/>
      <c r="K26" s="22" t="n"/>
    </row>
    <row r="27" ht="24" customHeight="1">
      <c r="A27" s="72" t="inlineStr">
        <is>
          <t>EMP-0023</t>
        </is>
      </c>
      <c r="B27" s="72" t="inlineStr">
        <is>
          <t>EMP-0021</t>
        </is>
      </c>
      <c r="C27" s="72" t="inlineStr">
        <is>
          <t>雷国才</t>
        </is>
      </c>
      <c r="D27" s="72" t="inlineStr">
        <is>
          <t>清洗工</t>
        </is>
      </c>
      <c r="E27" s="73" t="n"/>
      <c r="F27" s="72" t="inlineStr">
        <is>
          <t>正式员工</t>
        </is>
      </c>
      <c r="G27" s="72" t="inlineStr">
        <is>
          <t>在岗</t>
        </is>
      </c>
      <c r="H27" s="22" t="n"/>
      <c r="I27" s="22" t="n"/>
      <c r="J27" s="22" t="n"/>
      <c r="K27" s="22" t="n"/>
    </row>
    <row r="28" ht="24" customHeight="1">
      <c r="A28" s="74" t="inlineStr">
        <is>
          <t>EMP-0024</t>
        </is>
      </c>
      <c r="B28" s="74" t="inlineStr">
        <is>
          <t>EMP-0021</t>
        </is>
      </c>
      <c r="C28" s="74" t="inlineStr">
        <is>
          <t>王正光</t>
        </is>
      </c>
      <c r="D28" s="74" t="inlineStr">
        <is>
          <t>清洗工</t>
        </is>
      </c>
      <c r="E28" s="76" t="n"/>
      <c r="F28" s="74" t="inlineStr">
        <is>
          <t>正式员工</t>
        </is>
      </c>
      <c r="G28" s="74" t="inlineStr">
        <is>
          <t>在岗</t>
        </is>
      </c>
      <c r="H28" s="22" t="n"/>
      <c r="I28" s="22" t="n"/>
      <c r="J28" s="22" t="n"/>
      <c r="K28" s="22" t="n"/>
    </row>
    <row r="29" ht="24" customHeight="1">
      <c r="A29" s="72" t="inlineStr">
        <is>
          <t>EMP-0025</t>
        </is>
      </c>
      <c r="B29" s="72" t="inlineStr">
        <is>
          <t>EMP-0021</t>
        </is>
      </c>
      <c r="C29" s="72" t="inlineStr">
        <is>
          <t>王文开</t>
        </is>
      </c>
      <c r="D29" s="72" t="inlineStr">
        <is>
          <t>清洗工</t>
        </is>
      </c>
      <c r="E29" s="73" t="n"/>
      <c r="F29" s="72" t="inlineStr">
        <is>
          <t>正式员工</t>
        </is>
      </c>
      <c r="G29" s="72" t="inlineStr">
        <is>
          <t>在岗</t>
        </is>
      </c>
      <c r="H29" s="22" t="n"/>
      <c r="I29" s="22" t="n"/>
      <c r="J29" s="22" t="n"/>
      <c r="K29" s="22" t="n"/>
    </row>
    <row r="30" ht="24" customHeight="1">
      <c r="A30" s="74" t="inlineStr">
        <is>
          <t>EMP-0026</t>
        </is>
      </c>
      <c r="B30" s="74" t="inlineStr">
        <is>
          <t>EMP-0018</t>
        </is>
      </c>
      <c r="C30" s="74" t="inlineStr">
        <is>
          <t>吴闻根</t>
        </is>
      </c>
      <c r="D30" s="74" t="inlineStr">
        <is>
          <t>上机壳模具组长</t>
        </is>
      </c>
      <c r="E30" s="76" t="n"/>
      <c r="F30" s="74" t="inlineStr">
        <is>
          <t>正式员工</t>
        </is>
      </c>
      <c r="G30" s="74" t="inlineStr">
        <is>
          <t>在岗</t>
        </is>
      </c>
      <c r="H30" s="22" t="n"/>
      <c r="I30" s="22" t="n"/>
      <c r="J30" s="22" t="n"/>
      <c r="K30" s="22" t="n"/>
    </row>
    <row r="31" ht="24" customHeight="1">
      <c r="A31" s="72" t="inlineStr">
        <is>
          <t>EMP-0027</t>
        </is>
      </c>
      <c r="B31" s="72" t="inlineStr">
        <is>
          <t>EMP-0026</t>
        </is>
      </c>
      <c r="C31" s="72" t="inlineStr">
        <is>
          <t>陈英坤</t>
        </is>
      </c>
      <c r="D31" s="72" t="inlineStr">
        <is>
          <t>模具检修工</t>
        </is>
      </c>
      <c r="E31" s="73" t="n"/>
      <c r="F31" s="72" t="inlineStr">
        <is>
          <t>正式员工</t>
        </is>
      </c>
      <c r="G31" s="72" t="inlineStr">
        <is>
          <t>在岗</t>
        </is>
      </c>
      <c r="H31" s="22" t="n"/>
      <c r="I31" s="22" t="n"/>
      <c r="J31" s="22" t="n"/>
      <c r="K31" s="22" t="n"/>
    </row>
    <row r="32" ht="24" customHeight="1">
      <c r="A32" s="74" t="inlineStr">
        <is>
          <t>EMP-0028</t>
        </is>
      </c>
      <c r="B32" s="74" t="inlineStr">
        <is>
          <t>EMP-0026</t>
        </is>
      </c>
      <c r="C32" s="74" t="inlineStr">
        <is>
          <t>屠园园</t>
        </is>
      </c>
      <c r="D32" s="74" t="inlineStr">
        <is>
          <t>模具检修工</t>
        </is>
      </c>
      <c r="E32" s="76" t="n"/>
      <c r="F32" s="74" t="inlineStr">
        <is>
          <t>正式员工</t>
        </is>
      </c>
      <c r="G32" s="74" t="inlineStr">
        <is>
          <t>在岗</t>
        </is>
      </c>
      <c r="H32" s="22" t="n"/>
      <c r="I32" s="22" t="n"/>
      <c r="J32" s="22" t="n"/>
      <c r="K32" s="22" t="n"/>
    </row>
    <row r="33" ht="24" customHeight="1">
      <c r="A33" s="72" t="inlineStr">
        <is>
          <t>EMP-0029</t>
        </is>
      </c>
      <c r="B33" s="72" t="inlineStr">
        <is>
          <t>EMP-0026</t>
        </is>
      </c>
      <c r="C33" s="72" t="inlineStr">
        <is>
          <t>邓宏军</t>
        </is>
      </c>
      <c r="D33" s="72" t="inlineStr">
        <is>
          <t>模具检修工</t>
        </is>
      </c>
      <c r="E33" s="73" t="n"/>
      <c r="F33" s="72" t="inlineStr">
        <is>
          <t>正式员工</t>
        </is>
      </c>
      <c r="G33" s="72" t="inlineStr">
        <is>
          <t>在岗</t>
        </is>
      </c>
      <c r="H33" s="22" t="n"/>
      <c r="I33" s="22" t="n"/>
      <c r="J33" s="22" t="n"/>
      <c r="K33" s="22" t="n"/>
    </row>
    <row r="34" ht="24" customHeight="1">
      <c r="A34" s="74" t="inlineStr">
        <is>
          <t>EMP-0030</t>
        </is>
      </c>
      <c r="B34" s="74" t="inlineStr">
        <is>
          <t>EMP-0018</t>
        </is>
      </c>
      <c r="C34" s="74" t="inlineStr">
        <is>
          <t>王杰</t>
        </is>
      </c>
      <c r="D34" s="74" t="inlineStr">
        <is>
          <t>下机壳模具组长</t>
        </is>
      </c>
      <c r="E34" s="76" t="n"/>
      <c r="F34" s="74" t="inlineStr">
        <is>
          <t>正式员工</t>
        </is>
      </c>
      <c r="G34" s="74" t="inlineStr">
        <is>
          <t>在岗</t>
        </is>
      </c>
      <c r="H34" s="22" t="n"/>
      <c r="I34" s="22" t="n"/>
      <c r="J34" s="22" t="n"/>
      <c r="K34" s="22" t="n"/>
    </row>
    <row r="35" ht="24" customHeight="1">
      <c r="A35" s="72" t="inlineStr">
        <is>
          <t>EMP-0031</t>
        </is>
      </c>
      <c r="B35" s="72" t="inlineStr">
        <is>
          <t>EMP-0030</t>
        </is>
      </c>
      <c r="C35" s="72" t="inlineStr">
        <is>
          <t>陈仕波</t>
        </is>
      </c>
      <c r="D35" s="72" t="inlineStr">
        <is>
          <t>模具检修工</t>
        </is>
      </c>
      <c r="E35" s="73" t="n"/>
      <c r="F35" s="72" t="inlineStr">
        <is>
          <t>正式员工</t>
        </is>
      </c>
      <c r="G35" s="72" t="inlineStr">
        <is>
          <t>在岗</t>
        </is>
      </c>
      <c r="H35" s="22" t="n"/>
      <c r="I35" s="22" t="n"/>
      <c r="J35" s="22" t="n"/>
      <c r="K35" s="22" t="n"/>
    </row>
    <row r="36" ht="24" customHeight="1">
      <c r="A36" s="74" t="inlineStr">
        <is>
          <t>EMP-0032</t>
        </is>
      </c>
      <c r="B36" s="74" t="inlineStr">
        <is>
          <t>EMP-0030</t>
        </is>
      </c>
      <c r="C36" s="74" t="inlineStr">
        <is>
          <t>杨茗杰</t>
        </is>
      </c>
      <c r="D36" s="74" t="inlineStr">
        <is>
          <t>模具检修工</t>
        </is>
      </c>
      <c r="E36" s="76" t="n"/>
      <c r="F36" s="74" t="inlineStr">
        <is>
          <t>正式员工</t>
        </is>
      </c>
      <c r="G36" s="74" t="inlineStr">
        <is>
          <t>在岗</t>
        </is>
      </c>
      <c r="H36" s="22" t="n"/>
      <c r="I36" s="22" t="n"/>
      <c r="J36" s="22" t="n"/>
      <c r="K36" s="22" t="n"/>
    </row>
    <row r="37" ht="24" customHeight="1">
      <c r="A37" s="72" t="inlineStr">
        <is>
          <t>EMP-0033</t>
        </is>
      </c>
      <c r="B37" s="72" t="inlineStr">
        <is>
          <t>EMP-0030</t>
        </is>
      </c>
      <c r="C37" s="72" t="inlineStr">
        <is>
          <t>王敬</t>
        </is>
      </c>
      <c r="D37" s="72" t="inlineStr">
        <is>
          <t>模具检修工</t>
        </is>
      </c>
      <c r="E37" s="73" t="n"/>
      <c r="F37" s="72" t="inlineStr">
        <is>
          <t>正式员工</t>
        </is>
      </c>
      <c r="G37" s="72" t="inlineStr">
        <is>
          <t>在岗</t>
        </is>
      </c>
      <c r="H37" s="22" t="n"/>
      <c r="I37" s="22" t="n"/>
      <c r="J37" s="22" t="n"/>
      <c r="K37" s="22" t="n"/>
    </row>
    <row r="38" ht="24" customHeight="1">
      <c r="A38" s="74" t="inlineStr">
        <is>
          <t>EMP-0034</t>
        </is>
      </c>
      <c r="B38" s="74" t="inlineStr">
        <is>
          <t>EMP-0030</t>
        </is>
      </c>
      <c r="C38" s="74" t="inlineStr">
        <is>
          <t>张明新</t>
        </is>
      </c>
      <c r="D38" s="74" t="inlineStr">
        <is>
          <t>模具检修工</t>
        </is>
      </c>
      <c r="E38" s="76" t="n"/>
      <c r="F38" s="74" t="inlineStr">
        <is>
          <t>正式员工</t>
        </is>
      </c>
      <c r="G38" s="74" t="inlineStr">
        <is>
          <t>在岗</t>
        </is>
      </c>
      <c r="H38" s="22" t="n"/>
      <c r="I38" s="22" t="n"/>
      <c r="J38" s="22" t="n"/>
      <c r="K38" s="22" t="n"/>
    </row>
    <row r="39" ht="24" customHeight="1">
      <c r="A39" s="72" t="inlineStr">
        <is>
          <t>EMP-0035</t>
        </is>
      </c>
      <c r="B39" s="72" t="inlineStr">
        <is>
          <t>EMP-0030</t>
        </is>
      </c>
      <c r="C39" s="72" t="inlineStr">
        <is>
          <t>叶建科</t>
        </is>
      </c>
      <c r="D39" s="72" t="inlineStr">
        <is>
          <t>模具检修工</t>
        </is>
      </c>
      <c r="E39" s="73" t="n"/>
      <c r="F39" s="72" t="inlineStr">
        <is>
          <t>正式员工</t>
        </is>
      </c>
      <c r="G39" s="72" t="inlineStr">
        <is>
          <t>在岗</t>
        </is>
      </c>
      <c r="H39" s="22" t="n"/>
      <c r="I39" s="22" t="n"/>
      <c r="J39" s="22" t="n"/>
      <c r="K39" s="22" t="n"/>
    </row>
    <row r="40" ht="24" customHeight="1">
      <c r="A40" s="74" t="inlineStr">
        <is>
          <t>EMP-0036</t>
        </is>
      </c>
      <c r="B40" s="74" t="inlineStr">
        <is>
          <t>EMP-0001</t>
        </is>
      </c>
      <c r="C40" s="74" t="inlineStr">
        <is>
          <t>吕祖凤</t>
        </is>
      </c>
      <c r="D40" s="74" t="inlineStr">
        <is>
          <t>冲床操作工</t>
        </is>
      </c>
      <c r="E40" s="76" t="n"/>
      <c r="F40" s="74" t="inlineStr">
        <is>
          <t>正式员工</t>
        </is>
      </c>
      <c r="G40" s="74" t="inlineStr">
        <is>
          <t>在岗</t>
        </is>
      </c>
      <c r="H40" s="22" t="n"/>
      <c r="I40" s="22" t="n"/>
      <c r="J40" s="22" t="n"/>
      <c r="K40" s="22" t="n"/>
    </row>
    <row r="41" ht="24" customHeight="1">
      <c r="A41" s="72" t="inlineStr">
        <is>
          <t>EMP-0037</t>
        </is>
      </c>
      <c r="B41" s="72" t="inlineStr">
        <is>
          <t>EMP-0001</t>
        </is>
      </c>
      <c r="C41" s="72" t="inlineStr">
        <is>
          <t>钟海霞</t>
        </is>
      </c>
      <c r="D41" s="72" t="inlineStr">
        <is>
          <t>冲床操作工</t>
        </is>
      </c>
      <c r="E41" s="73" t="n"/>
      <c r="F41" s="72" t="inlineStr">
        <is>
          <t>正式员工</t>
        </is>
      </c>
      <c r="G41" s="72" t="inlineStr">
        <is>
          <t>在岗</t>
        </is>
      </c>
      <c r="H41" s="22" t="n"/>
      <c r="I41" s="22" t="n"/>
      <c r="J41" s="22" t="n"/>
      <c r="K41" s="22" t="n"/>
    </row>
    <row r="42" ht="24" customHeight="1">
      <c r="A42" s="74" t="inlineStr">
        <is>
          <t>EMP-0038</t>
        </is>
      </c>
      <c r="B42" s="74" t="inlineStr">
        <is>
          <t>EMP-0001</t>
        </is>
      </c>
      <c r="C42" s="74" t="inlineStr">
        <is>
          <t>余名秀</t>
        </is>
      </c>
      <c r="D42" s="74" t="inlineStr">
        <is>
          <t>冲床操作工</t>
        </is>
      </c>
      <c r="E42" s="76" t="n"/>
      <c r="F42" s="74" t="inlineStr">
        <is>
          <t>正式员工</t>
        </is>
      </c>
      <c r="G42" s="74" t="inlineStr">
        <is>
          <t>在岗</t>
        </is>
      </c>
      <c r="H42" s="22" t="n"/>
      <c r="I42" s="22" t="n"/>
      <c r="J42" s="22" t="n"/>
      <c r="K42" s="22" t="n"/>
    </row>
    <row r="43" ht="24" customHeight="1">
      <c r="A43" s="72" t="inlineStr">
        <is>
          <t>EMP-0039</t>
        </is>
      </c>
      <c r="B43" s="72" t="inlineStr">
        <is>
          <t>EMP-0001</t>
        </is>
      </c>
      <c r="C43" s="72" t="inlineStr">
        <is>
          <t>唐晓飞</t>
        </is>
      </c>
      <c r="D43" s="72" t="inlineStr">
        <is>
          <t>冲床操作工</t>
        </is>
      </c>
      <c r="E43" s="73" t="n"/>
      <c r="F43" s="72" t="inlineStr">
        <is>
          <t>正式员工</t>
        </is>
      </c>
      <c r="G43" s="72" t="inlineStr">
        <is>
          <t>在岗</t>
        </is>
      </c>
      <c r="H43" s="22" t="n"/>
      <c r="I43" s="22" t="n"/>
      <c r="J43" s="22" t="n"/>
      <c r="K43" s="22" t="n"/>
    </row>
    <row r="44" ht="24" customHeight="1">
      <c r="A44" s="74" t="inlineStr">
        <is>
          <t>EMP-0040</t>
        </is>
      </c>
      <c r="B44" s="74" t="inlineStr">
        <is>
          <t>EMP-0001</t>
        </is>
      </c>
      <c r="C44" s="74" t="inlineStr">
        <is>
          <t>陈烈兵</t>
        </is>
      </c>
      <c r="D44" s="74" t="inlineStr">
        <is>
          <t>冲床操作工</t>
        </is>
      </c>
      <c r="E44" s="76" t="n"/>
      <c r="F44" s="74" t="inlineStr">
        <is>
          <t>正式员工</t>
        </is>
      </c>
      <c r="G44" s="74" t="inlineStr">
        <is>
          <t>在岗</t>
        </is>
      </c>
      <c r="H44" s="22" t="n"/>
      <c r="I44" s="22" t="n"/>
      <c r="J44" s="22" t="n"/>
      <c r="K44" s="22" t="n"/>
    </row>
    <row r="45" ht="24" customHeight="1">
      <c r="A45" s="72" t="inlineStr">
        <is>
          <t>EMP-0041</t>
        </is>
      </c>
      <c r="B45" s="72" t="inlineStr">
        <is>
          <t>EMP-0001</t>
        </is>
      </c>
      <c r="C45" s="72" t="inlineStr">
        <is>
          <t>徐旭阳</t>
        </is>
      </c>
      <c r="D45" s="72" t="inlineStr">
        <is>
          <t>冲床操作工</t>
        </is>
      </c>
      <c r="E45" s="73" t="n"/>
      <c r="F45" s="72" t="inlineStr">
        <is>
          <t>正式员工</t>
        </is>
      </c>
      <c r="G45" s="72" t="inlineStr">
        <is>
          <t>在岗</t>
        </is>
      </c>
      <c r="H45" s="22" t="n"/>
      <c r="I45" s="22" t="n"/>
      <c r="J45" s="22" t="n"/>
      <c r="K45" s="22" t="n"/>
    </row>
    <row r="46" ht="24" customHeight="1">
      <c r="A46" s="74" t="inlineStr">
        <is>
          <t>EMP-0042</t>
        </is>
      </c>
      <c r="B46" s="74" t="inlineStr">
        <is>
          <t>EMP-0013</t>
        </is>
      </c>
      <c r="C46" s="74" t="inlineStr">
        <is>
          <t>黄丹</t>
        </is>
      </c>
      <c r="D46" s="74" t="inlineStr">
        <is>
          <t>质检员（来料/出货检验）</t>
        </is>
      </c>
      <c r="E46" s="76" t="n"/>
      <c r="F46" s="74" t="inlineStr">
        <is>
          <t>正式员工</t>
        </is>
      </c>
      <c r="G46" s="74" t="inlineStr">
        <is>
          <t>在岗</t>
        </is>
      </c>
      <c r="H46" s="22" t="n"/>
      <c r="I46" s="22" t="n"/>
      <c r="J46" s="22" t="n"/>
      <c r="K46" s="22" t="n"/>
    </row>
    <row r="47" ht="24" customHeight="1">
      <c r="A47" s="72" t="inlineStr">
        <is>
          <t>EMP-0043</t>
        </is>
      </c>
      <c r="B47" s="72" t="inlineStr">
        <is>
          <t>EMP-0030</t>
        </is>
      </c>
      <c r="C47" s="72" t="inlineStr">
        <is>
          <t>王名涵</t>
        </is>
      </c>
      <c r="D47" s="72" t="inlineStr">
        <is>
          <t>模具检修工</t>
        </is>
      </c>
      <c r="E47" s="73" t="n"/>
      <c r="F47" s="72" t="inlineStr">
        <is>
          <t>正式员工</t>
        </is>
      </c>
      <c r="G47" s="72" t="inlineStr">
        <is>
          <t>在岗</t>
        </is>
      </c>
      <c r="H47" s="22" t="n"/>
      <c r="I47" s="22" t="n"/>
      <c r="J47" s="22" t="n"/>
      <c r="K47" s="22" t="n"/>
    </row>
    <row r="48" ht="24" customHeight="1">
      <c r="A48" s="74" t="inlineStr">
        <is>
          <t>EMP-0044</t>
        </is>
      </c>
      <c r="B48" s="74" t="inlineStr">
        <is>
          <t>EMP-0026</t>
        </is>
      </c>
      <c r="C48" s="74" t="inlineStr">
        <is>
          <t>陈仕宁</t>
        </is>
      </c>
      <c r="D48" s="74" t="inlineStr">
        <is>
          <t>模具检修工</t>
        </is>
      </c>
      <c r="E48" s="76" t="n"/>
      <c r="F48" s="74" t="inlineStr">
        <is>
          <t>正式员工</t>
        </is>
      </c>
      <c r="G48" s="74" t="inlineStr">
        <is>
          <t>在岗</t>
        </is>
      </c>
      <c r="H48" s="22" t="n"/>
      <c r="I48" s="22" t="n"/>
      <c r="J48" s="22" t="n"/>
      <c r="K48" s="22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</row>
  </sheetData>
  <autoFilter ref="A4:G48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44"/>
  <sheetViews>
    <sheetView showGridLines="0" zoomScale="90" zoomScaleNormal="90" workbookViewId="0">
      <pane ySplit="4" topLeftCell="A5" activePane="bottomLeft" state="frozen"/>
      <selection activeCell="A1" sqref="A1"/>
      <selection pane="bottomLeft" activeCell="F9" sqref="F9"/>
    </sheetView>
  </sheetViews>
  <sheetFormatPr baseColWidth="8" defaultColWidth="9" defaultRowHeight="14.25"/>
  <cols>
    <col width="15" customWidth="1" style="64" min="1" max="1"/>
    <col width="18.5" customWidth="1" style="62" min="2" max="2"/>
    <col width="7.125" customWidth="1" style="62" min="3" max="3"/>
    <col width="12" customWidth="1" style="64" min="4" max="4"/>
    <col width="10.5" customWidth="1" style="62" min="5" max="5"/>
    <col width="15.25" customWidth="1" style="62" min="6" max="6"/>
    <col width="7.125" customWidth="1" style="62" min="7" max="7"/>
    <col width="7.125" customWidth="1" style="20" min="8" max="8"/>
    <col width="7.125" customWidth="1" style="62" min="9" max="9"/>
    <col width="20.125" customWidth="1" style="62" min="10" max="10"/>
    <col width="48" customWidth="1" style="62" min="11" max="11"/>
    <col width="33.125" customWidth="1" style="62" min="12" max="12"/>
    <col width="12" customWidth="1" style="62" min="13" max="13"/>
    <col width="10.375" customWidth="1" style="62" min="14" max="14"/>
    <col width="40" customWidth="1" style="62" min="15" max="15"/>
    <col width="9" customWidth="1" style="62" min="16" max="16384"/>
  </cols>
  <sheetData>
    <row r="1" ht="30" customHeight="1">
      <c r="A1" s="7" t="inlineStr">
        <is>
          <t>02｜组织单元主数据</t>
        </is>
      </c>
      <c r="H1" s="7" t="n"/>
      <c r="O1" s="22" t="n"/>
      <c r="P1" s="22" t="n"/>
      <c r="Q1" s="22" t="n"/>
    </row>
    <row r="2" ht="24" customHeight="1">
      <c r="A2" s="23" t="inlineStr">
        <is>
          <t>公司组织架构按“公司—部门—班组”管理；董事长、总经理归入公司层级；包装不作为独立组织单元，相关人员归入仓储组。</t>
        </is>
      </c>
      <c r="H2" s="23" t="n"/>
      <c r="O2" s="22" t="n"/>
      <c r="P2" s="22" t="n"/>
      <c r="Q2" s="22" t="n"/>
    </row>
    <row r="3" ht="8" customHeight="1">
      <c r="O3" s="22" t="n"/>
      <c r="P3" s="22" t="n"/>
      <c r="Q3" s="22" t="n"/>
    </row>
    <row r="4" ht="30" customHeight="1">
      <c r="A4" s="9" t="inlineStr">
        <is>
          <t>组织单元ID*</t>
        </is>
      </c>
      <c r="B4" s="9" t="inlineStr">
        <is>
          <t>组织单元名称*</t>
        </is>
      </c>
      <c r="C4" s="9" t="inlineStr">
        <is>
          <t>组织层级</t>
        </is>
      </c>
      <c r="D4" s="9" t="inlineStr">
        <is>
          <t>上级组织单元ID</t>
        </is>
      </c>
      <c r="E4" s="9" t="inlineStr">
        <is>
          <t>负责人员工ID</t>
        </is>
      </c>
      <c r="F4" s="9" t="inlineStr">
        <is>
          <t>负责人姓名（可选）</t>
        </is>
      </c>
      <c r="G4" s="9" t="inlineStr">
        <is>
          <t>组织状态</t>
        </is>
      </c>
      <c r="H4" s="9" t="inlineStr">
        <is>
          <t>现有人数</t>
        </is>
      </c>
      <c r="I4" s="9" t="inlineStr">
        <is>
          <t>计划编制</t>
        </is>
      </c>
      <c r="J4" s="9" t="inlineStr">
        <is>
          <t>核心定位</t>
        </is>
      </c>
      <c r="K4" s="9" t="inlineStr">
        <is>
          <t>主要输出物</t>
        </is>
      </c>
      <c r="L4" s="9" t="inlineStr">
        <is>
          <t>备注</t>
        </is>
      </c>
      <c r="M4" s="9" t="inlineStr">
        <is>
          <t>月度汇报对象</t>
        </is>
      </c>
      <c r="N4" s="9" t="inlineStr">
        <is>
          <t>月度汇报周期</t>
        </is>
      </c>
      <c r="O4" s="22" t="n"/>
      <c r="P4" s="22" t="n"/>
      <c r="Q4" s="22" t="n"/>
    </row>
    <row r="5" ht="60" customFormat="1" customHeight="1" s="62">
      <c r="A5" s="65" t="inlineStr">
        <is>
          <t>ORG-ROOT</t>
        </is>
      </c>
      <c r="B5" s="10" t="inlineStr">
        <is>
          <t>惠州市鑫犇电子有限公司</t>
        </is>
      </c>
      <c r="C5" s="10" t="inlineStr">
        <is>
          <t>公司</t>
        </is>
      </c>
      <c r="D5" s="65" t="n"/>
      <c r="E5" s="10" t="inlineStr">
        <is>
          <t>/</t>
        </is>
      </c>
      <c r="F5" s="10" t="inlineStr">
        <is>
          <t>/</t>
        </is>
      </c>
      <c r="G5" s="10" t="inlineStr">
        <is>
          <t>现行</t>
        </is>
      </c>
      <c r="H5" s="10" t="n"/>
      <c r="I5" s="10" t="n"/>
      <c r="J5" s="10" t="inlineStr">
        <is>
          <t>公司主体</t>
        </is>
      </c>
      <c r="K5" s="10" t="inlineStr">
        <is>
          <t>1、《年度经营目标》；2、《重大审批记录》；3、《公司级制度文件》；4、《组织架构总文件》；5、《ISO9001质量体系文件》</t>
        </is>
      </c>
      <c r="L5" s="10" t="inlineStr">
        <is>
          <t>公司为组织管理概念，不配置实体负责人；本字段不填写，以“/”标记。</t>
        </is>
      </c>
      <c r="M5" s="10" t="inlineStr">
        <is>
          <t>董事长</t>
        </is>
      </c>
      <c r="N5" s="10" t="inlineStr">
        <is>
          <t>每月5日前</t>
        </is>
      </c>
      <c r="O5" s="70" t="n"/>
      <c r="P5" s="70" t="n"/>
      <c r="Q5" s="70" t="n"/>
    </row>
    <row r="6" ht="60" customHeight="1">
      <c r="A6" s="67" t="inlineStr">
        <is>
          <t>ORG-CHAIR</t>
        </is>
      </c>
      <c r="B6" s="66" t="inlineStr">
        <is>
          <t>董事长</t>
        </is>
      </c>
      <c r="C6" s="66" t="inlineStr">
        <is>
          <t>公司</t>
        </is>
      </c>
      <c r="D6" s="67" t="inlineStr">
        <is>
          <t>ORG-ROOT</t>
        </is>
      </c>
      <c r="E6" s="66" t="inlineStr">
        <is>
          <t>EMP-0020</t>
        </is>
      </c>
      <c r="F6" s="66" t="inlineStr">
        <is>
          <t>王勇</t>
        </is>
      </c>
      <c r="G6" s="66" t="inlineStr">
        <is>
          <t>现行</t>
        </is>
      </c>
      <c r="H6" s="66" t="n"/>
      <c r="I6" s="66" t="n"/>
      <c r="J6" s="66" t="inlineStr">
        <is>
          <t>公司治理与重大决策</t>
        </is>
      </c>
      <c r="K6" s="66" t="inlineStr">
        <is>
          <t>1、《战略规划文件》；2、《重大事项审批记录》</t>
        </is>
      </c>
      <c r="L6" s="66" t="inlineStr">
        <is>
          <t>董事长：王勇（EMP-0020）。</t>
        </is>
      </c>
      <c r="M6" s="66" t="inlineStr">
        <is>
          <t>公司</t>
        </is>
      </c>
      <c r="N6" s="66" t="inlineStr">
        <is>
          <t>每月5日前</t>
        </is>
      </c>
      <c r="O6" s="70" t="n"/>
      <c r="P6" s="70" t="n"/>
      <c r="Q6" s="70" t="n"/>
    </row>
    <row r="7" ht="60" customFormat="1" customHeight="1" s="62">
      <c r="A7" s="65" t="inlineStr">
        <is>
          <t>ORG-GM</t>
        </is>
      </c>
      <c r="B7" s="10" t="inlineStr">
        <is>
          <t>总经理</t>
        </is>
      </c>
      <c r="C7" s="10" t="inlineStr">
        <is>
          <t>公司</t>
        </is>
      </c>
      <c r="D7" s="65" t="inlineStr">
        <is>
          <t>ORG-ROOT</t>
        </is>
      </c>
      <c r="E7" s="10" t="inlineStr">
        <is>
          <t>EMP-0019</t>
        </is>
      </c>
      <c r="F7" s="10" t="inlineStr">
        <is>
          <t>王晓华</t>
        </is>
      </c>
      <c r="G7" s="10" t="inlineStr">
        <is>
          <t>现行</t>
        </is>
      </c>
      <c r="H7" s="10" t="n"/>
      <c r="I7" s="10" t="n"/>
      <c r="J7" s="10" t="inlineStr">
        <is>
          <t>公司经营管理与跨部门协调</t>
        </is>
      </c>
      <c r="K7" s="10" t="inlineStr">
        <is>
          <t>1、《经营管理会议纪要》；2、《月度经营分析报告》；3、《重点事项跟踪表》</t>
        </is>
      </c>
      <c r="L7" s="10" t="inlineStr">
        <is>
          <t>与董事长同属公司层级；负责日常经营管理和五个一级部门统筹协调。</t>
        </is>
      </c>
      <c r="M7" s="10" t="inlineStr">
        <is>
          <t>董事长</t>
        </is>
      </c>
      <c r="N7" s="10" t="inlineStr">
        <is>
          <t>每月5日前</t>
        </is>
      </c>
      <c r="O7" s="70" t="n"/>
      <c r="P7" s="70" t="n"/>
      <c r="Q7" s="70" t="n"/>
    </row>
    <row r="8" ht="60" customFormat="1" customHeight="1" s="62">
      <c r="A8" s="67" t="inlineStr">
        <is>
          <t>ORG-ADM</t>
        </is>
      </c>
      <c r="B8" s="66" t="inlineStr">
        <is>
          <t>行政部</t>
        </is>
      </c>
      <c r="C8" s="66" t="inlineStr">
        <is>
          <t>部门</t>
        </is>
      </c>
      <c r="D8" s="67" t="inlineStr">
        <is>
          <t>ORG-GM</t>
        </is>
      </c>
      <c r="E8" s="66" t="inlineStr">
        <is>
          <t>EMP-0020</t>
        </is>
      </c>
      <c r="F8" s="66" t="inlineStr">
        <is>
          <t>王晓华</t>
        </is>
      </c>
      <c r="G8" s="66" t="inlineStr">
        <is>
          <t>现行</t>
        </is>
      </c>
      <c r="H8" s="66" t="n"/>
      <c r="I8" s="66" t="n"/>
      <c r="J8" s="66" t="inlineStr">
        <is>
          <t>行政管理部门</t>
        </is>
      </c>
      <c r="K8" s="66" t="inlineStr">
        <is>
          <t>1、《文件员工档案》；2、《安全管理台账》；3、《安全教育培训台账》；4、《后勤管理记录》；5、《招聘/离职资料》</t>
        </is>
      </c>
      <c r="L8" s="66" t="n"/>
      <c r="M8" s="66" t="inlineStr">
        <is>
          <t>总经理</t>
        </is>
      </c>
      <c r="N8" s="66" t="inlineStr">
        <is>
          <t>每月3日前</t>
        </is>
      </c>
      <c r="O8" s="70" t="n"/>
      <c r="P8" s="70" t="n"/>
      <c r="Q8" s="70" t="n"/>
    </row>
    <row r="9" ht="60" customFormat="1" customHeight="1" s="62">
      <c r="A9" s="65" t="inlineStr">
        <is>
          <t>ORG-OPS</t>
        </is>
      </c>
      <c r="B9" s="10" t="inlineStr">
        <is>
          <t>营运部</t>
        </is>
      </c>
      <c r="C9" s="10" t="inlineStr">
        <is>
          <t>部门</t>
        </is>
      </c>
      <c r="D9" s="65" t="inlineStr">
        <is>
          <t>ORG-GM</t>
        </is>
      </c>
      <c r="E9" s="10" t="inlineStr">
        <is>
          <t>EMP-0019</t>
        </is>
      </c>
      <c r="F9" s="10" t="inlineStr">
        <is>
          <t>王晓华</t>
        </is>
      </c>
      <c r="G9" s="10" t="inlineStr">
        <is>
          <t>现行</t>
        </is>
      </c>
      <c r="H9" s="10" t="n"/>
      <c r="I9" s="10" t="n"/>
      <c r="J9" s="10" t="inlineStr">
        <is>
          <t>运营管理部门</t>
        </is>
      </c>
      <c r="K9" s="10" t="inlineStr">
        <is>
          <t>1、《订单评审文件》；2、《原材料采购申购单》；3、《仓储盘点汇总》；4、《出货检测报告》</t>
        </is>
      </c>
      <c r="L9" s="10" t="n"/>
      <c r="M9" s="10" t="inlineStr">
        <is>
          <t>总经理</t>
        </is>
      </c>
      <c r="N9" s="10" t="inlineStr">
        <is>
          <t>每月3日前</t>
        </is>
      </c>
      <c r="O9" s="70" t="n"/>
      <c r="P9" s="70" t="n"/>
      <c r="Q9" s="70" t="n"/>
    </row>
    <row r="10" ht="60" customFormat="1" customHeight="1" s="62">
      <c r="A10" s="67" t="inlineStr">
        <is>
          <t>ORG-PROD</t>
        </is>
      </c>
      <c r="B10" s="66" t="inlineStr">
        <is>
          <t>生产部</t>
        </is>
      </c>
      <c r="C10" s="66" t="inlineStr">
        <is>
          <t>部门</t>
        </is>
      </c>
      <c r="D10" s="67" t="inlineStr">
        <is>
          <t>ORG-GM</t>
        </is>
      </c>
      <c r="E10" s="66" t="inlineStr">
        <is>
          <t>EMP-0017</t>
        </is>
      </c>
      <c r="F10" s="66" t="inlineStr">
        <is>
          <t>李天友</t>
        </is>
      </c>
      <c r="G10" s="66" t="inlineStr">
        <is>
          <t>现行</t>
        </is>
      </c>
      <c r="H10" s="66" t="n"/>
      <c r="I10" s="66" t="n"/>
      <c r="J10" s="66" t="inlineStr">
        <is>
          <t>生产管理部门</t>
        </is>
      </c>
      <c r="K10" s="66" t="inlineStr">
        <is>
          <t>1、《生产任务单》；2、《日产量报表》；3、《设备日点检汇总表》；4、《生产异常记录》</t>
        </is>
      </c>
      <c r="L10" s="66" t="n"/>
      <c r="M10" s="66" t="inlineStr">
        <is>
          <t>总经理</t>
        </is>
      </c>
      <c r="N10" s="66" t="inlineStr">
        <is>
          <t>每月3日前</t>
        </is>
      </c>
      <c r="O10" s="70" t="n"/>
      <c r="P10" s="70" t="n"/>
      <c r="Q10" s="70" t="n"/>
    </row>
    <row r="11" ht="60" customHeight="1">
      <c r="A11" s="65" t="inlineStr">
        <is>
          <t>ORG-QA</t>
        </is>
      </c>
      <c r="B11" s="10" t="inlineStr">
        <is>
          <t>品质部</t>
        </is>
      </c>
      <c r="C11" s="10" t="inlineStr">
        <is>
          <t>部门</t>
        </is>
      </c>
      <c r="D11" s="65" t="inlineStr">
        <is>
          <t>ORG-GM</t>
        </is>
      </c>
      <c r="E11" s="10" t="inlineStr">
        <is>
          <t>EMP-0017</t>
        </is>
      </c>
      <c r="F11" s="10" t="inlineStr">
        <is>
          <t>李天友</t>
        </is>
      </c>
      <c r="G11" s="10" t="inlineStr">
        <is>
          <t>现行</t>
        </is>
      </c>
      <c r="H11" s="10" t="n"/>
      <c r="I11" s="10" t="n"/>
      <c r="J11" s="10" t="inlineStr">
        <is>
          <t>品质管理部门</t>
        </is>
      </c>
      <c r="K11" s="10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10" t="n"/>
      <c r="M11" s="10" t="inlineStr">
        <is>
          <t>总经理</t>
        </is>
      </c>
      <c r="N11" s="10" t="inlineStr">
        <is>
          <t>每月3日前</t>
        </is>
      </c>
      <c r="O11" s="70" t="n"/>
      <c r="P11" s="70" t="n"/>
      <c r="Q11" s="70" t="n"/>
    </row>
    <row r="12" ht="60" customFormat="1" customHeight="1" s="62">
      <c r="A12" s="67" t="inlineStr">
        <is>
          <t>ORG-FIN</t>
        </is>
      </c>
      <c r="B12" s="66" t="inlineStr">
        <is>
          <t>财务部</t>
        </is>
      </c>
      <c r="C12" s="66" t="inlineStr">
        <is>
          <t>部门</t>
        </is>
      </c>
      <c r="D12" s="67" t="inlineStr">
        <is>
          <t>ORG-GM</t>
        </is>
      </c>
      <c r="E12" s="66" t="inlineStr">
        <is>
          <t>EMP-0020</t>
        </is>
      </c>
      <c r="F12" s="66" t="inlineStr">
        <is>
          <t>王勇</t>
        </is>
      </c>
      <c r="G12" s="66" t="inlineStr">
        <is>
          <t>现行</t>
        </is>
      </c>
      <c r="H12" s="66" t="n"/>
      <c r="I12" s="66" t="n"/>
      <c r="J12" s="66" t="inlineStr">
        <is>
          <t>财务管理部门</t>
        </is>
      </c>
      <c r="K12" s="66" t="inlineStr">
        <is>
          <t>1、《会计凭证》；2、《月度财务报表》；3、《税务申报表》；4、《资金计划》；5、《付款审批记录》；6、《成本分析报告》</t>
        </is>
      </c>
      <c r="L12" s="66" t="n"/>
      <c r="M12" s="66" t="inlineStr">
        <is>
          <t>董事长、总经理</t>
        </is>
      </c>
      <c r="N12" s="66" t="inlineStr">
        <is>
          <t>每月5日前</t>
        </is>
      </c>
      <c r="O12" s="70" t="n"/>
      <c r="P12" s="70" t="n"/>
      <c r="Q12" s="70" t="n"/>
    </row>
    <row r="13" ht="60" customFormat="1" customHeight="1" s="62">
      <c r="A13" s="65" t="inlineStr">
        <is>
          <t>ORG-PROD-WORK</t>
        </is>
      </c>
      <c r="B13" s="10" t="inlineStr">
        <is>
          <t>冲压车间</t>
        </is>
      </c>
      <c r="C13" s="10" t="inlineStr">
        <is>
          <t>班组</t>
        </is>
      </c>
      <c r="D13" s="65" t="inlineStr">
        <is>
          <t>ORG-PROD</t>
        </is>
      </c>
      <c r="E13" s="10" t="inlineStr">
        <is>
          <t>EMP-0001</t>
        </is>
      </c>
      <c r="F13" s="10" t="inlineStr">
        <is>
          <t>王小平</t>
        </is>
      </c>
      <c r="G13" s="10" t="inlineStr">
        <is>
          <t>现行</t>
        </is>
      </c>
      <c r="H13" s="10" t="n"/>
      <c r="I13" s="10" t="n"/>
      <c r="J13" s="10" t="inlineStr">
        <is>
          <t>生产执行单元</t>
        </is>
      </c>
      <c r="K13" s="10" t="inlineStr">
        <is>
          <t>1、《冲压半成品/成品》；2、《冲床设备点检记录》；3、《工位生产日报》；4、《现场不良隔离记录》</t>
        </is>
      </c>
      <c r="L13" s="10" t="inlineStr">
        <is>
          <t>按本次组织架构确认更新；月度汇报内容沿用原定义，后续按班组职责细化。</t>
        </is>
      </c>
      <c r="M13" s="10" t="inlineStr">
        <is>
          <t>生产部负责人</t>
        </is>
      </c>
      <c r="N13" s="10" t="inlineStr">
        <is>
          <t>每月2日前</t>
        </is>
      </c>
      <c r="O13" s="70" t="n"/>
      <c r="P13" s="70" t="n"/>
      <c r="Q13" s="70" t="n"/>
    </row>
    <row r="14" ht="60" customFormat="1" customHeight="1" s="62">
      <c r="A14" s="67" t="inlineStr">
        <is>
          <t>ORG-PROD-WASH</t>
        </is>
      </c>
      <c r="B14" s="66" t="inlineStr">
        <is>
          <t>清洗车间</t>
        </is>
      </c>
      <c r="C14" s="66" t="inlineStr">
        <is>
          <t>班组</t>
        </is>
      </c>
      <c r="D14" s="67" t="inlineStr">
        <is>
          <t>ORG-PROD</t>
        </is>
      </c>
      <c r="E14" s="66" t="inlineStr">
        <is>
          <t>EMP-0021</t>
        </is>
      </c>
      <c r="F14" s="66" t="inlineStr">
        <is>
          <t>马金军</t>
        </is>
      </c>
      <c r="G14" s="66" t="inlineStr">
        <is>
          <t>现行</t>
        </is>
      </c>
      <c r="H14" s="66" t="n"/>
      <c r="I14" s="66" t="n"/>
      <c r="J14" s="66" t="inlineStr">
        <is>
          <t>产品清洗单元</t>
        </is>
      </c>
      <c r="K14" s="66" t="inlineStr">
        <is>
          <t>1、《清洗作业记录》；2、《清洗设备点检表》；3、《不良隔离记录》</t>
        </is>
      </c>
      <c r="L14" s="66" t="inlineStr">
        <is>
          <t>清洗车间已纳入现行组织架构，马金军为清洗组长。</t>
        </is>
      </c>
      <c r="M14" s="66" t="inlineStr">
        <is>
          <t>生产部负责人</t>
        </is>
      </c>
      <c r="N14" s="66" t="inlineStr">
        <is>
          <t>每月2日前</t>
        </is>
      </c>
      <c r="O14" s="70" t="n"/>
      <c r="P14" s="70" t="n"/>
      <c r="Q14" s="70" t="n"/>
    </row>
    <row r="15" ht="60" customFormat="1" customHeight="1" s="62">
      <c r="A15" s="65" t="inlineStr">
        <is>
          <t>ORG-OPS-WH</t>
        </is>
      </c>
      <c r="B15" s="10" t="inlineStr">
        <is>
          <t>仓储组</t>
        </is>
      </c>
      <c r="C15" s="10" t="inlineStr">
        <is>
          <t>班组</t>
        </is>
      </c>
      <c r="D15" s="65" t="inlineStr">
        <is>
          <t>ORG-OPS</t>
        </is>
      </c>
      <c r="E15" s="10" t="inlineStr">
        <is>
          <t>EMP-0013</t>
        </is>
      </c>
      <c r="F15" s="10" t="inlineStr">
        <is>
          <t>王珊兰</t>
        </is>
      </c>
      <c r="G15" s="10" t="inlineStr">
        <is>
          <t>现行</t>
        </is>
      </c>
      <c r="H15" s="10" t="n"/>
      <c r="I15" s="10" t="n"/>
      <c r="J15" s="10" t="inlineStr">
        <is>
          <t>仓储管理单元</t>
        </is>
      </c>
      <c r="K15" s="10" t="inlineStr">
        <is>
          <t>1、《物料出入库单据》；2、《出入库存台账（包括纸质和电子台账）》；3、《出入库存立牌》；4、《季度盘点表》</t>
        </is>
      </c>
      <c r="L15" s="10" t="inlineStr">
        <is>
          <t>按本次组织架构确认更新；月度汇报内容沿用原定义，后续按班组职责细化。</t>
        </is>
      </c>
      <c r="M15" s="10" t="inlineStr">
        <is>
          <t>营运部负责人</t>
        </is>
      </c>
      <c r="N15" s="10" t="inlineStr">
        <is>
          <t>每月2日前</t>
        </is>
      </c>
      <c r="O15" s="70" t="n"/>
      <c r="P15" s="70" t="n"/>
      <c r="Q15" s="70" t="n"/>
    </row>
    <row r="16" ht="60" customFormat="1" customHeight="1" s="62">
      <c r="A16" s="67" t="inlineStr">
        <is>
          <t>ORG-OPS-PUR</t>
        </is>
      </c>
      <c r="B16" s="66" t="inlineStr">
        <is>
          <t>采购组</t>
        </is>
      </c>
      <c r="C16" s="66" t="inlineStr">
        <is>
          <t>班组</t>
        </is>
      </c>
      <c r="D16" s="67" t="inlineStr">
        <is>
          <t>ORG-OPS</t>
        </is>
      </c>
      <c r="E16" s="66" t="inlineStr">
        <is>
          <t>EMP-0016</t>
        </is>
      </c>
      <c r="F16" s="66" t="inlineStr">
        <is>
          <t>尹杰</t>
        </is>
      </c>
      <c r="G16" s="66" t="inlineStr">
        <is>
          <t>现行</t>
        </is>
      </c>
      <c r="H16" s="66" t="n"/>
      <c r="I16" s="66" t="n"/>
      <c r="J16" s="66" t="inlineStr">
        <is>
          <t>采购单元</t>
        </is>
      </c>
      <c r="K16" s="66" t="inlineStr">
        <is>
          <t>1、《采购订单》；2、《询比价记录》；3、《采购交期跟进台账》；4、《来料异常记录》</t>
        </is>
      </c>
      <c r="L16" s="66" t="inlineStr">
        <is>
          <t>按本次组织架构确认更新；月度汇报内容沿用原定义，后续按班组职责细化。</t>
        </is>
      </c>
      <c r="M16" s="66" t="inlineStr">
        <is>
          <t>营运部负责人</t>
        </is>
      </c>
      <c r="N16" s="66" t="inlineStr">
        <is>
          <t>每月2日前</t>
        </is>
      </c>
      <c r="O16" s="70" t="n"/>
      <c r="P16" s="70" t="n"/>
      <c r="Q16" s="70" t="n"/>
    </row>
    <row r="17" ht="60" customHeight="1">
      <c r="A17" s="65" t="inlineStr">
        <is>
          <t>ORG-OPS-BIZ</t>
        </is>
      </c>
      <c r="B17" s="10" t="inlineStr">
        <is>
          <t>业务组</t>
        </is>
      </c>
      <c r="C17" s="10" t="inlineStr">
        <is>
          <t>班组</t>
        </is>
      </c>
      <c r="D17" s="65" t="inlineStr">
        <is>
          <t>ORG-OPS</t>
        </is>
      </c>
      <c r="E17" s="10" t="inlineStr">
        <is>
          <t>EMP-0015</t>
        </is>
      </c>
      <c r="F17" s="10" t="inlineStr">
        <is>
          <t>王秋红</t>
        </is>
      </c>
      <c r="G17" s="10" t="inlineStr">
        <is>
          <t>现行</t>
        </is>
      </c>
      <c r="H17" s="10" t="n"/>
      <c r="I17" s="10" t="n"/>
      <c r="J17" s="10" t="inlineStr">
        <is>
          <t>业务单元</t>
        </is>
      </c>
      <c r="K17" s="10" t="inlineStr">
        <is>
          <t>1、《订单评审记录》；2、《订单台账》；3、《客户沟通记录》；4、《出货通知单》</t>
        </is>
      </c>
      <c r="L17" s="10" t="inlineStr">
        <is>
          <t>按本次组织架构确认更新；月度汇报内容沿用原定义，后续按班组职责细化。</t>
        </is>
      </c>
      <c r="M17" s="10" t="inlineStr">
        <is>
          <t>营运部负责人</t>
        </is>
      </c>
      <c r="N17" s="10" t="inlineStr">
        <is>
          <t>每月2日前</t>
        </is>
      </c>
      <c r="O17" s="70" t="n"/>
      <c r="P17" s="70" t="n"/>
      <c r="Q17" s="70" t="n"/>
    </row>
    <row r="18" ht="60" customFormat="1" customHeight="1" s="62">
      <c r="A18" s="67" t="inlineStr">
        <is>
          <t>ORG-ADM-LOG</t>
        </is>
      </c>
      <c r="B18" s="66" t="inlineStr">
        <is>
          <t>后勤组</t>
        </is>
      </c>
      <c r="C18" s="66" t="inlineStr">
        <is>
          <t>班组</t>
        </is>
      </c>
      <c r="D18" s="67" t="inlineStr">
        <is>
          <t>ORG-ADM</t>
        </is>
      </c>
      <c r="E18" s="66" t="inlineStr">
        <is>
          <t>EMP-0020</t>
        </is>
      </c>
      <c r="F18" s="66" t="inlineStr">
        <is>
          <t>王勇</t>
        </is>
      </c>
      <c r="G18" s="66" t="inlineStr">
        <is>
          <t>现行</t>
        </is>
      </c>
      <c r="H18" s="66" t="n"/>
      <c r="I18" s="66" t="n"/>
      <c r="J18" s="66" t="inlineStr">
        <is>
          <t>后勤保障单元</t>
        </is>
      </c>
      <c r="K18" s="66" t="inlineStr">
        <is>
          <t>1、《访客出入登记本》；2、《厂区巡逻记录》；3、《食堂消毒记录》</t>
        </is>
      </c>
      <c r="L18" s="66" t="inlineStr">
        <is>
          <t>按本次组织架构确认更新；月度汇报内容沿用原定义，后续按班组职责细化。</t>
        </is>
      </c>
      <c r="M18" s="66" t="inlineStr">
        <is>
          <t>行政部负责人</t>
        </is>
      </c>
      <c r="N18" s="66" t="inlineStr">
        <is>
          <t>每月2日前</t>
        </is>
      </c>
      <c r="O18" s="70" t="n"/>
      <c r="P18" s="70" t="n"/>
      <c r="Q18" s="70" t="n"/>
    </row>
    <row r="19" ht="60" customHeight="1">
      <c r="A19" s="65" t="inlineStr">
        <is>
          <t>ORG-ADM-HR</t>
        </is>
      </c>
      <c r="B19" s="10" t="inlineStr">
        <is>
          <t>人事组</t>
        </is>
      </c>
      <c r="C19" s="10" t="inlineStr">
        <is>
          <t>班组</t>
        </is>
      </c>
      <c r="D19" s="65" t="inlineStr">
        <is>
          <t>ORG-ADM</t>
        </is>
      </c>
      <c r="E19" s="10" t="inlineStr">
        <is>
          <t>EMP-0016</t>
        </is>
      </c>
      <c r="F19" s="10" t="inlineStr">
        <is>
          <t>尹杰</t>
        </is>
      </c>
      <c r="G19" s="10" t="inlineStr">
        <is>
          <t>现行</t>
        </is>
      </c>
      <c r="H19" s="10" t="n"/>
      <c r="I19" s="10" t="n"/>
      <c r="J19" s="10" t="inlineStr">
        <is>
          <t>人事管理单元</t>
        </is>
      </c>
      <c r="K19" s="10" t="inlineStr">
        <is>
          <t>1、《员工人事档案》；2、《入离职表单》；3、《月度考勤汇总表》；4、《招聘台账》；5、《社保办理记录》</t>
        </is>
      </c>
      <c r="L19" s="10" t="inlineStr">
        <is>
          <t>按本次组织架构确认更新；月度汇报内容沿用原定义，后续按班组职责细化。</t>
        </is>
      </c>
      <c r="M19" s="10" t="inlineStr">
        <is>
          <t>行政部负责人</t>
        </is>
      </c>
      <c r="N19" s="10" t="inlineStr">
        <is>
          <t>每月2日前</t>
        </is>
      </c>
      <c r="O19" s="70" t="n"/>
      <c r="P19" s="70" t="n"/>
      <c r="Q19" s="70" t="n"/>
    </row>
    <row r="20" ht="60" customHeight="1">
      <c r="A20" s="67" t="inlineStr">
        <is>
          <t>ORG-PROD-TECH</t>
        </is>
      </c>
      <c r="B20" s="66" t="inlineStr">
        <is>
          <t>工程技术组</t>
        </is>
      </c>
      <c r="C20" s="66" t="inlineStr">
        <is>
          <t>班组</t>
        </is>
      </c>
      <c r="D20" s="67" t="inlineStr">
        <is>
          <t>ORG-PROD</t>
        </is>
      </c>
      <c r="E20" s="66" t="inlineStr">
        <is>
          <t>EMP-0018</t>
        </is>
      </c>
      <c r="F20" s="66" t="inlineStr">
        <is>
          <t>刘东</t>
        </is>
      </c>
      <c r="G20" s="66" t="inlineStr">
        <is>
          <t>现行</t>
        </is>
      </c>
      <c r="H20" s="66" t="n"/>
      <c r="I20" s="66" t="n"/>
      <c r="J20" s="66" t="inlineStr">
        <is>
          <t>技术支持单元</t>
        </is>
      </c>
      <c r="K20" s="66" t="inlineStr">
        <is>
          <t>1、《模具技术评审记录》；2、《产品工艺文件》；3、《技术改善报告》；4、《工艺变更建议文档》</t>
        </is>
      </c>
      <c r="L20" s="66" t="inlineStr">
        <is>
          <t>按本次组织架构确认更新；月度汇报内容沿用原定义，后续按班组职责细化。</t>
        </is>
      </c>
      <c r="M20" s="66" t="inlineStr">
        <is>
          <t>总经理</t>
        </is>
      </c>
      <c r="N20" s="66" t="inlineStr">
        <is>
          <t>每月2日前</t>
        </is>
      </c>
      <c r="O20" s="70" t="n"/>
      <c r="P20" s="70" t="n"/>
      <c r="Q20" s="70" t="n"/>
    </row>
    <row r="21" ht="60" customFormat="1" customHeight="1" s="62">
      <c r="A21" s="65" t="inlineStr">
        <is>
          <t>ORG-PROD-MOLD</t>
        </is>
      </c>
      <c r="B21" s="10" t="inlineStr">
        <is>
          <t>模具维修组</t>
        </is>
      </c>
      <c r="C21" s="10" t="inlineStr">
        <is>
          <t>班组</t>
        </is>
      </c>
      <c r="D21" s="65" t="inlineStr">
        <is>
          <t>ORG-PROD</t>
        </is>
      </c>
      <c r="E21" s="10" t="inlineStr">
        <is>
          <t>EMP-0026</t>
        </is>
      </c>
      <c r="F21" s="10" t="inlineStr">
        <is>
          <t>吴闻根</t>
        </is>
      </c>
      <c r="G21" s="10" t="inlineStr">
        <is>
          <t>现行</t>
        </is>
      </c>
      <c r="H21" s="10" t="n"/>
      <c r="I21" s="10" t="n"/>
      <c r="J21" s="10" t="inlineStr">
        <is>
          <t>模具制造/维修单元</t>
        </is>
      </c>
      <c r="K21" s="10" t="inlineStr">
        <is>
          <t>1、《模具维修保养记录》；2、《模具台账》；3、《修模改模图纸台账》；4、《班组巡检记录》</t>
        </is>
      </c>
      <c r="L21" s="10" t="inlineStr">
        <is>
          <t>架构层面保留一个“模具维修组”；岗位层面可分上机壳模具组长、下机壳模具组长。</t>
        </is>
      </c>
      <c r="M21" s="10" t="inlineStr">
        <is>
          <t>模具技术负责人</t>
        </is>
      </c>
      <c r="N21" s="10" t="inlineStr">
        <is>
          <t>每月2日前</t>
        </is>
      </c>
      <c r="O21" s="70" t="n"/>
      <c r="P21" s="70" t="n"/>
      <c r="Q21" s="70" t="n"/>
    </row>
    <row r="22" ht="60" customHeight="1">
      <c r="A22" s="67" t="inlineStr">
        <is>
          <t>ORG-QA-IPQC</t>
        </is>
      </c>
      <c r="B22" s="66" t="inlineStr">
        <is>
          <t>制程巡检组</t>
        </is>
      </c>
      <c r="C22" s="66" t="inlineStr">
        <is>
          <t>班组</t>
        </is>
      </c>
      <c r="D22" s="67" t="inlineStr">
        <is>
          <t>ORG-QA</t>
        </is>
      </c>
      <c r="E22" s="66" t="inlineStr">
        <is>
          <t>EMP-0017</t>
        </is>
      </c>
      <c r="F22" s="66" t="inlineStr">
        <is>
          <t>李天友</t>
        </is>
      </c>
      <c r="G22" s="66" t="inlineStr">
        <is>
          <t>现行</t>
        </is>
      </c>
      <c r="H22" s="66" t="n"/>
      <c r="I22" s="66" t="n"/>
      <c r="J22" s="66" t="inlineStr">
        <is>
          <t>制程质量巡检单元</t>
        </is>
      </c>
      <c r="K22" s="66" t="inlineStr">
        <is>
          <t>1、《制程巡检记录》；2、《制程异常反馈单》</t>
        </is>
      </c>
      <c r="L22" s="66" t="inlineStr">
        <is>
          <t>制程巡检、首件复核和现场不良隔离。</t>
        </is>
      </c>
      <c r="M22" s="66" t="inlineStr">
        <is>
          <t>品质部负责人</t>
        </is>
      </c>
      <c r="N22" s="66" t="inlineStr">
        <is>
          <t>每月2日前</t>
        </is>
      </c>
      <c r="O22" s="70" t="n"/>
      <c r="P22" s="70" t="n"/>
      <c r="Q22" s="70" t="n"/>
    </row>
    <row r="23" ht="60" customHeight="1">
      <c r="A23" s="65" t="inlineStr">
        <is>
          <t>ORG-QA-FG</t>
        </is>
      </c>
      <c r="B23" s="10" t="inlineStr">
        <is>
          <t>成品出货检验组</t>
        </is>
      </c>
      <c r="C23" s="10" t="inlineStr">
        <is>
          <t>班组</t>
        </is>
      </c>
      <c r="D23" s="65" t="inlineStr">
        <is>
          <t>ORG-QA</t>
        </is>
      </c>
      <c r="E23" s="10" t="inlineStr">
        <is>
          <t>EMP-0013</t>
        </is>
      </c>
      <c r="F23" s="10" t="inlineStr">
        <is>
          <t>王珊兰</t>
        </is>
      </c>
      <c r="G23" s="10" t="inlineStr">
        <is>
          <t>现行</t>
        </is>
      </c>
      <c r="H23" s="10" t="n"/>
      <c r="I23" s="10" t="n"/>
      <c r="J23" s="10" t="inlineStr">
        <is>
          <t>品质管理班组</t>
        </is>
      </c>
      <c r="K23" s="10" t="inlineStr">
        <is>
          <t>1、《月度制程/成品检验汇总》；2、《出货质量报告》；3、《客户质量异常跟踪》</t>
        </is>
      </c>
      <c r="L23" s="10" t="inlineStr">
        <is>
          <t>合并承担来料检查、成品检验和出货检验职责；分别按来料、成品和出货检验要求记录与处理异常。</t>
        </is>
      </c>
      <c r="M23" s="10" t="inlineStr">
        <is>
          <t>品质部负责人</t>
        </is>
      </c>
      <c r="N23" s="10" t="inlineStr">
        <is>
          <t>每月2日前</t>
        </is>
      </c>
      <c r="O23" s="70" t="n"/>
      <c r="P23" s="70" t="n"/>
      <c r="Q23" s="70" t="n"/>
    </row>
    <row r="24" ht="60" customHeight="1">
      <c r="A24" s="67" t="inlineStr">
        <is>
          <t>ORG-FIN-ACC</t>
        </is>
      </c>
      <c r="B24" s="66" t="inlineStr">
        <is>
          <t>会计组</t>
        </is>
      </c>
      <c r="C24" s="66" t="inlineStr">
        <is>
          <t>班组</t>
        </is>
      </c>
      <c r="D24" s="67" t="inlineStr">
        <is>
          <t>ORG-FIN</t>
        </is>
      </c>
      <c r="E24" s="66" t="inlineStr">
        <is>
          <t>EMP-0020</t>
        </is>
      </c>
      <c r="F24" s="66" t="inlineStr">
        <is>
          <t>王勇</t>
        </is>
      </c>
      <c r="G24" s="66" t="inlineStr">
        <is>
          <t>现行</t>
        </is>
      </c>
      <c r="H24" s="66" t="n"/>
      <c r="I24" s="66" t="n"/>
      <c r="J24" s="66" t="inlineStr">
        <is>
          <t>财务班组</t>
        </is>
      </c>
      <c r="K24" s="66" t="inlineStr">
        <is>
          <t>1、《月度财务报表》；2、《税务申报汇总》；3、《成本分析报告》</t>
        </is>
      </c>
      <c r="L24" s="66" t="inlineStr">
        <is>
          <t>会计核算与税务</t>
        </is>
      </c>
      <c r="M24" s="66" t="inlineStr">
        <is>
          <t>财务负责人</t>
        </is>
      </c>
      <c r="N24" s="66" t="inlineStr">
        <is>
          <t>每月2日前</t>
        </is>
      </c>
      <c r="O24" s="70" t="n"/>
      <c r="P24" s="70" t="n"/>
      <c r="Q24" s="70" t="n"/>
    </row>
    <row r="25" ht="60" customHeight="1">
      <c r="A25" s="65" t="inlineStr">
        <is>
          <t>ORG-FIN-CASH</t>
        </is>
      </c>
      <c r="B25" s="10" t="inlineStr">
        <is>
          <t>出纳组</t>
        </is>
      </c>
      <c r="C25" s="10" t="inlineStr">
        <is>
          <t>班组</t>
        </is>
      </c>
      <c r="D25" s="65" t="inlineStr">
        <is>
          <t>ORG-FIN</t>
        </is>
      </c>
      <c r="E25" s="10" t="inlineStr">
        <is>
          <t>EMP-0020</t>
        </is>
      </c>
      <c r="F25" s="10" t="inlineStr">
        <is>
          <t>王勇</t>
        </is>
      </c>
      <c r="G25" s="10" t="inlineStr">
        <is>
          <t>现行</t>
        </is>
      </c>
      <c r="H25" s="10" t="n"/>
      <c r="I25" s="10" t="n"/>
      <c r="J25" s="10" t="inlineStr">
        <is>
          <t>财务班组</t>
        </is>
      </c>
      <c r="K25" s="10" t="inlineStr">
        <is>
          <t>1、《月度资金收支汇总》；2、《银行对账》；3、《付款执行清单》</t>
        </is>
      </c>
      <c r="L25" s="10" t="inlineStr">
        <is>
          <t>资金收付与台账</t>
        </is>
      </c>
      <c r="M25" s="10" t="inlineStr">
        <is>
          <t>财务负责人</t>
        </is>
      </c>
      <c r="N25" s="10" t="inlineStr">
        <is>
          <t>每月2日前</t>
        </is>
      </c>
      <c r="O25" s="70" t="n"/>
      <c r="P25" s="70" t="n"/>
      <c r="Q25" s="70" t="n"/>
    </row>
    <row r="26" ht="15" customHeight="1">
      <c r="O26" s="70" t="n"/>
      <c r="P26" s="70" t="n"/>
      <c r="Q26" s="70" t="n"/>
    </row>
    <row r="27" ht="15" customHeight="1">
      <c r="A27" s="71" t="n"/>
      <c r="B27" s="70" t="n"/>
      <c r="C27" s="70" t="n"/>
      <c r="D27" s="71" t="n"/>
      <c r="E27" s="70" t="n"/>
      <c r="F27" s="70" t="n"/>
      <c r="G27" s="70" t="n"/>
      <c r="H27" s="5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</row>
    <row r="28" ht="15" customHeight="1">
      <c r="A28" s="71" t="n"/>
      <c r="B28" s="70" t="n"/>
      <c r="C28" s="70" t="n"/>
      <c r="D28" s="71" t="n"/>
      <c r="E28" s="70" t="n"/>
      <c r="F28" s="70" t="n"/>
      <c r="G28" s="70" t="n"/>
      <c r="H28" s="50" t="n"/>
      <c r="I28" s="70" t="n"/>
      <c r="J28" s="70" t="n"/>
      <c r="K28" s="70" t="n"/>
      <c r="L28" s="70" t="n"/>
      <c r="M28" s="70" t="n"/>
      <c r="N28" s="70" t="n"/>
      <c r="O28" s="70" t="n"/>
      <c r="P28" s="70" t="n"/>
      <c r="Q28" s="70" t="n"/>
    </row>
    <row r="29" ht="15" customHeight="1">
      <c r="A29" s="71" t="n"/>
      <c r="B29" s="70" t="n"/>
      <c r="C29" s="70" t="n"/>
      <c r="D29" s="71" t="n"/>
      <c r="E29" s="70" t="n"/>
      <c r="F29" s="70" t="n"/>
      <c r="G29" s="70" t="n"/>
      <c r="H29" s="50" t="n"/>
      <c r="I29" s="70" t="n"/>
      <c r="J29" s="70" t="n"/>
      <c r="K29" s="70" t="n"/>
      <c r="L29" s="70" t="n"/>
      <c r="M29" s="70" t="n"/>
      <c r="N29" s="70" t="n"/>
      <c r="O29" s="70" t="n"/>
      <c r="P29" s="70" t="n"/>
      <c r="Q29" s="70" t="n"/>
    </row>
    <row r="30" ht="15" customHeight="1">
      <c r="A30" s="71" t="n"/>
      <c r="B30" s="70" t="n"/>
      <c r="C30" s="70" t="n"/>
      <c r="D30" s="71" t="n"/>
      <c r="E30" s="70" t="n"/>
      <c r="F30" s="70" t="n"/>
      <c r="G30" s="70" t="n"/>
      <c r="H30" s="50" t="n"/>
      <c r="I30" s="70" t="n"/>
      <c r="J30" s="70" t="n"/>
      <c r="K30" s="70" t="n"/>
      <c r="L30" s="70" t="n"/>
      <c r="M30" s="70" t="n"/>
      <c r="N30" s="70" t="n"/>
      <c r="O30" s="70" t="n"/>
      <c r="P30" s="70" t="n"/>
      <c r="Q30" s="70" t="n"/>
    </row>
    <row r="31" ht="15" customHeight="1">
      <c r="A31" s="71" t="n"/>
      <c r="B31" s="70" t="n"/>
      <c r="C31" s="70" t="n"/>
      <c r="D31" s="71" t="n"/>
      <c r="E31" s="70" t="n"/>
      <c r="F31" s="70" t="n"/>
      <c r="G31" s="70" t="n"/>
      <c r="H31" s="50" t="n"/>
      <c r="I31" s="70" t="n"/>
      <c r="J31" s="70" t="n"/>
      <c r="K31" s="70" t="n"/>
      <c r="L31" s="70" t="n"/>
      <c r="M31" s="70" t="n"/>
      <c r="N31" s="70" t="n"/>
      <c r="O31" s="70" t="n"/>
      <c r="P31" s="70" t="n"/>
      <c r="Q31" s="70" t="n"/>
    </row>
    <row r="32" ht="15" customHeight="1">
      <c r="A32" s="71" t="n"/>
      <c r="B32" s="70" t="n"/>
      <c r="C32" s="70" t="n"/>
      <c r="D32" s="71" t="n"/>
      <c r="E32" s="70" t="n"/>
      <c r="F32" s="70" t="n"/>
      <c r="G32" s="70" t="n"/>
      <c r="H32" s="50" t="n"/>
      <c r="I32" s="70" t="n"/>
      <c r="J32" s="70" t="n"/>
      <c r="K32" s="70" t="n"/>
      <c r="L32" s="70" t="n"/>
      <c r="M32" s="70" t="n"/>
      <c r="N32" s="70" t="n"/>
      <c r="O32" s="70" t="n"/>
      <c r="P32" s="70" t="n"/>
      <c r="Q32" s="70" t="n"/>
    </row>
    <row r="33" ht="15" customHeight="1">
      <c r="A33" s="71" t="n"/>
      <c r="B33" s="70" t="n"/>
      <c r="C33" s="70" t="n"/>
      <c r="D33" s="71" t="n"/>
      <c r="E33" s="70" t="n"/>
      <c r="F33" s="70" t="n"/>
      <c r="G33" s="70" t="n"/>
      <c r="H33" s="50" t="n"/>
      <c r="I33" s="70" t="n"/>
      <c r="J33" s="70" t="n"/>
      <c r="K33" s="70" t="n"/>
      <c r="L33" s="70" t="n"/>
      <c r="M33" s="70" t="n"/>
      <c r="N33" s="70" t="n"/>
      <c r="O33" s="70" t="n"/>
      <c r="P33" s="70" t="n"/>
      <c r="Q33" s="70" t="n"/>
    </row>
    <row r="34" ht="15" customHeight="1">
      <c r="A34" s="71" t="n"/>
      <c r="B34" s="70" t="n"/>
      <c r="C34" s="70" t="n"/>
      <c r="D34" s="71" t="n"/>
      <c r="E34" s="70" t="n"/>
      <c r="F34" s="70" t="n"/>
      <c r="G34" s="70" t="n"/>
      <c r="H34" s="50" t="n"/>
      <c r="I34" s="70" t="n"/>
      <c r="J34" s="70" t="n"/>
      <c r="K34" s="70" t="n"/>
      <c r="L34" s="70" t="n"/>
      <c r="M34" s="70" t="n"/>
      <c r="N34" s="70" t="n"/>
      <c r="O34" s="70" t="n"/>
      <c r="P34" s="70" t="n"/>
      <c r="Q34" s="70" t="n"/>
    </row>
    <row r="35" ht="15" customHeight="1">
      <c r="A35" s="71" t="n"/>
      <c r="B35" s="70" t="n"/>
      <c r="C35" s="70" t="n"/>
      <c r="D35" s="71" t="n"/>
      <c r="E35" s="70" t="n"/>
      <c r="F35" s="70" t="n"/>
      <c r="G35" s="70" t="n"/>
      <c r="H35" s="50" t="n"/>
      <c r="I35" s="70" t="n"/>
      <c r="J35" s="70" t="n"/>
      <c r="K35" s="70" t="n"/>
      <c r="L35" s="70" t="n"/>
      <c r="M35" s="70" t="n"/>
      <c r="N35" s="70" t="n"/>
      <c r="O35" s="70" t="n"/>
      <c r="P35" s="70" t="n"/>
      <c r="Q35" s="70" t="n"/>
    </row>
    <row r="36" ht="15" customHeight="1">
      <c r="A36" s="71" t="n"/>
      <c r="B36" s="70" t="n"/>
      <c r="C36" s="70" t="n"/>
      <c r="D36" s="71" t="n"/>
      <c r="E36" s="70" t="n"/>
      <c r="F36" s="70" t="n"/>
      <c r="G36" s="70" t="n"/>
      <c r="H36" s="50" t="n"/>
      <c r="I36" s="70" t="n"/>
      <c r="J36" s="70" t="n"/>
      <c r="K36" s="70" t="n"/>
      <c r="L36" s="70" t="n"/>
      <c r="M36" s="70" t="n"/>
      <c r="N36" s="70" t="n"/>
      <c r="O36" s="70" t="n"/>
      <c r="P36" s="70" t="n"/>
      <c r="Q36" s="70" t="n"/>
    </row>
    <row r="37" ht="15" customHeight="1">
      <c r="A37" s="71" t="n"/>
      <c r="B37" s="70" t="n"/>
      <c r="C37" s="70" t="n"/>
      <c r="D37" s="71" t="n"/>
      <c r="E37" s="70" t="n"/>
      <c r="F37" s="70" t="n"/>
      <c r="G37" s="70" t="n"/>
      <c r="H37" s="50" t="n"/>
      <c r="I37" s="70" t="n"/>
      <c r="J37" s="70" t="n"/>
      <c r="K37" s="70" t="n"/>
      <c r="L37" s="70" t="n"/>
      <c r="M37" s="70" t="n"/>
      <c r="N37" s="70" t="n"/>
      <c r="O37" s="70" t="n"/>
    </row>
    <row r="38" ht="15" customHeight="1">
      <c r="A38" s="71" t="n"/>
      <c r="B38" s="70" t="n"/>
      <c r="C38" s="70" t="n"/>
      <c r="D38" s="71" t="n"/>
      <c r="E38" s="70" t="n"/>
      <c r="F38" s="70" t="n"/>
      <c r="G38" s="70" t="n"/>
      <c r="H38" s="50" t="n"/>
      <c r="I38" s="70" t="n"/>
      <c r="J38" s="70" t="n"/>
      <c r="K38" s="70" t="n"/>
      <c r="L38" s="70" t="n"/>
      <c r="M38" s="70" t="n"/>
      <c r="N38" s="70" t="n"/>
      <c r="O38" s="70" t="n"/>
    </row>
    <row r="39" ht="15" customHeight="1">
      <c r="A39" s="71" t="n"/>
      <c r="B39" s="70" t="n"/>
      <c r="C39" s="70" t="n"/>
      <c r="D39" s="71" t="n"/>
      <c r="E39" s="70" t="n"/>
      <c r="F39" s="70" t="n"/>
      <c r="G39" s="70" t="n"/>
      <c r="H39" s="50" t="n"/>
      <c r="I39" s="70" t="n"/>
      <c r="J39" s="70" t="n"/>
      <c r="K39" s="70" t="n"/>
      <c r="L39" s="70" t="n"/>
      <c r="M39" s="70" t="n"/>
      <c r="N39" s="70" t="n"/>
      <c r="O39" s="70" t="n"/>
    </row>
    <row r="40" ht="15" customHeight="1">
      <c r="A40" s="71" t="n"/>
      <c r="B40" s="70" t="n"/>
      <c r="C40" s="70" t="n"/>
      <c r="D40" s="71" t="n"/>
      <c r="E40" s="70" t="n"/>
      <c r="F40" s="70" t="n"/>
      <c r="G40" s="70" t="n"/>
      <c r="H40" s="50" t="n"/>
      <c r="I40" s="70" t="n"/>
      <c r="J40" s="70" t="n"/>
      <c r="K40" s="70" t="n"/>
      <c r="L40" s="70" t="n"/>
      <c r="M40" s="70" t="n"/>
      <c r="N40" s="70" t="n"/>
      <c r="O40" s="70" t="n"/>
    </row>
    <row r="41" ht="15" customHeight="1">
      <c r="A41" s="71" t="n"/>
      <c r="B41" s="70" t="n"/>
      <c r="C41" s="70" t="n"/>
      <c r="D41" s="71" t="n"/>
      <c r="E41" s="70" t="n"/>
      <c r="F41" s="70" t="n"/>
      <c r="G41" s="70" t="n"/>
      <c r="H41" s="50" t="n"/>
      <c r="I41" s="70" t="n"/>
      <c r="J41" s="70" t="n"/>
      <c r="K41" s="70" t="n"/>
      <c r="L41" s="70" t="n"/>
      <c r="M41" s="70" t="n"/>
      <c r="N41" s="70" t="n"/>
      <c r="O41" s="70" t="n"/>
    </row>
    <row r="42" ht="15" customHeight="1">
      <c r="A42" s="71" t="n"/>
      <c r="B42" s="70" t="n"/>
      <c r="C42" s="70" t="n"/>
      <c r="D42" s="71" t="n"/>
      <c r="E42" s="70" t="n"/>
      <c r="F42" s="70" t="n"/>
      <c r="G42" s="70" t="n"/>
      <c r="H42" s="50" t="n"/>
      <c r="I42" s="70" t="n"/>
      <c r="J42" s="70" t="n"/>
      <c r="K42" s="70" t="n"/>
      <c r="L42" s="70" t="n"/>
      <c r="M42" s="70" t="n"/>
      <c r="N42" s="70" t="n"/>
      <c r="O42" s="70" t="n"/>
    </row>
    <row r="43" ht="15" customHeight="1">
      <c r="A43" s="71" t="n"/>
      <c r="B43" s="70" t="n"/>
      <c r="C43" s="70" t="n"/>
      <c r="D43" s="71" t="n"/>
      <c r="E43" s="70" t="n"/>
      <c r="F43" s="70" t="n"/>
      <c r="G43" s="70" t="n"/>
      <c r="H43" s="50" t="n"/>
      <c r="I43" s="70" t="n"/>
      <c r="J43" s="70" t="n"/>
      <c r="K43" s="70" t="n"/>
      <c r="L43" s="70" t="n"/>
      <c r="M43" s="70" t="n"/>
      <c r="N43" s="70" t="n"/>
      <c r="O43" s="70" t="n"/>
    </row>
    <row r="44" ht="15" customHeight="1">
      <c r="A44" s="71" t="n"/>
      <c r="B44" s="70" t="n"/>
      <c r="C44" s="70" t="n"/>
      <c r="D44" s="71" t="n"/>
      <c r="E44" s="70" t="n"/>
      <c r="F44" s="70" t="n"/>
      <c r="G44" s="70" t="n"/>
      <c r="H44" s="50" t="n"/>
      <c r="I44" s="70" t="n"/>
      <c r="J44" s="70" t="n"/>
      <c r="K44" s="70" t="n"/>
      <c r="L44" s="70" t="n"/>
      <c r="M44" s="70" t="n"/>
      <c r="N44" s="70" t="n"/>
      <c r="O44" s="70" t="n"/>
    </row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</sheetData>
  <autoFilter ref="A4:N25">
    <sortState ref="A4:N25">
      <sortCondition descending="1" ref="C4:C54"/>
    </sortState>
  </autoFilter>
  <mergeCells count="4">
    <mergeCell ref="A1:G1"/>
    <mergeCell ref="A2:G2"/>
    <mergeCell ref="H1:N1"/>
    <mergeCell ref="H2:N2"/>
  </mergeCells>
  <dataValidations count="3">
    <dataValidation sqref="B5:B21 B22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21 C22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21 G22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 paperSize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zoomScale="70" zoomScaleNormal="70" workbookViewId="0">
      <selection activeCell="A32" sqref="A8:K8 A10:K10 A12:K12 A14:K14 A16:K16 A18:K18 A20:K20 A22:K22 A24:K24 A26:K26 A28:K28 A30:K30 A32:K32"/>
    </sheetView>
  </sheetViews>
  <sheetFormatPr baseColWidth="8" defaultColWidth="9" defaultRowHeight="14.25"/>
  <cols>
    <col width="15.275" customWidth="1" style="63" min="1" max="1"/>
    <col width="13.3333333333333" customWidth="1" style="20" min="2" max="2"/>
    <col width="12.2166666666667" customWidth="1" style="19" min="3" max="3"/>
    <col width="12.2166666666667" customWidth="1" style="20" min="4" max="5"/>
    <col width="29.8583333333333" customWidth="1" style="62" min="6" max="7"/>
    <col width="29.8583333333333" customWidth="1" style="20" min="8" max="8"/>
    <col width="29.8583333333333" customWidth="1" style="62" min="9" max="10"/>
    <col width="18.8833333333333" customWidth="1" style="64" min="11" max="11"/>
    <col width="34" customWidth="1" style="62" min="12" max="12"/>
    <col width="18" customWidth="1" style="62" min="13" max="13"/>
    <col width="14" customWidth="1" style="62" min="14" max="14"/>
    <col width="40" customWidth="1" style="62" min="15" max="15"/>
    <col width="9" customWidth="1" style="62" min="16" max="16384"/>
  </cols>
  <sheetData>
    <row r="1" ht="30" customHeight="1">
      <c r="A1" s="7" t="inlineStr">
        <is>
          <t>03｜岗位字典</t>
        </is>
      </c>
      <c r="H1" s="7" t="n"/>
    </row>
    <row r="2" ht="24" customHeight="1">
      <c r="A2" s="23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  <c r="H2" s="23" t="n"/>
    </row>
    <row r="3" ht="8" customHeight="1"/>
    <row r="4" ht="30" customHeight="1">
      <c r="A4" s="9" t="inlineStr">
        <is>
          <t>岗位ID*</t>
        </is>
      </c>
      <c r="B4" s="9" t="inlineStr">
        <is>
          <t>岗位名称*</t>
        </is>
      </c>
      <c r="C4" s="9" t="inlineStr">
        <is>
          <t>所属组织单元ID</t>
        </is>
      </c>
      <c r="D4" s="9" t="inlineStr">
        <is>
          <t>岗位层级</t>
        </is>
      </c>
      <c r="E4" s="9" t="inlineStr">
        <is>
          <t>岗位状态</t>
        </is>
      </c>
      <c r="F4" s="9" t="inlineStr">
        <is>
          <t>岗位目的</t>
        </is>
      </c>
      <c r="G4" s="9" t="inlineStr">
        <is>
          <t>核心职责</t>
        </is>
      </c>
      <c r="H4" s="9" t="inlineStr">
        <is>
          <t>岗位输出物</t>
        </is>
      </c>
      <c r="I4" s="9" t="inlineStr">
        <is>
          <t>关键权限</t>
        </is>
      </c>
      <c r="J4" s="9" t="inlineStr">
        <is>
          <t>任职要求/能力</t>
        </is>
      </c>
      <c r="K4" s="9" t="inlineStr">
        <is>
          <t>替代岗位ID</t>
        </is>
      </c>
      <c r="L4" s="9" t="inlineStr">
        <is>
          <t>备注</t>
        </is>
      </c>
      <c r="M4" s="9" t="n"/>
      <c r="N4" s="9" t="n"/>
    </row>
    <row r="5" ht="60" customFormat="1" customHeight="1" s="62">
      <c r="A5" s="24" t="inlineStr">
        <is>
          <t>POS-CHAIR</t>
        </is>
      </c>
      <c r="B5" s="25" t="inlineStr">
        <is>
          <t>董事长</t>
        </is>
      </c>
      <c r="C5" s="24" t="inlineStr">
        <is>
          <t>ORG-ROOT</t>
        </is>
      </c>
      <c r="D5" s="25" t="inlineStr">
        <is>
          <t>公司负责人</t>
        </is>
      </c>
      <c r="E5" s="25" t="inlineStr">
        <is>
          <t>现行</t>
        </is>
      </c>
      <c r="F5" s="10" t="inlineStr">
        <is>
          <t>把控公司战略方向，重大经营决策、风险管控</t>
        </is>
      </c>
      <c r="G5" s="10" t="inlineStr">
        <is>
          <t>公司战略规划；重大投资、人事、财务事项审批；监督总经理经营履职；重大对外决策</t>
        </is>
      </c>
      <c r="H5" s="10" t="inlineStr">
        <is>
          <t>《战略规划文件》、《重大事项审批记录》</t>
        </is>
      </c>
      <c r="I5" s="10" t="inlineStr">
        <is>
          <t>重大投资审批权、高层人事任免权、重大财务审批权</t>
        </is>
      </c>
      <c r="J5" s="10" t="inlineStr">
        <is>
          <t>企业经营战略、风险管理、行业研判能力</t>
        </is>
      </c>
      <c r="K5" s="65" t="inlineStr">
        <is>
          <t>POS-GM</t>
        </is>
      </c>
      <c r="L5" s="66" t="n"/>
      <c r="M5" s="10" t="n"/>
      <c r="N5" s="10" t="n"/>
    </row>
    <row r="6" ht="60" customFormat="1" customHeight="1" s="62">
      <c r="A6" s="32" t="inlineStr">
        <is>
          <t>POS-GM</t>
        </is>
      </c>
      <c r="B6" s="34" t="inlineStr">
        <is>
          <t>总经理</t>
        </is>
      </c>
      <c r="C6" s="32" t="inlineStr">
        <is>
          <t>ORG-ROOT</t>
        </is>
      </c>
      <c r="D6" s="34" t="inlineStr">
        <is>
          <t>公司负责人</t>
        </is>
      </c>
      <c r="E6" s="34" t="inlineStr">
        <is>
          <t>现行</t>
        </is>
      </c>
      <c r="F6" s="66" t="inlineStr">
        <is>
          <t>全面负责公司日常经营管理，对经营结果最终负责</t>
        </is>
      </c>
      <c r="G6" s="66" t="inlineStr">
        <is>
          <t>执行董事会战略；统筹各部门运营；经营目标拆解落地；跨部门冲突协调；经营绩效管控；重大客户与供应商管理</t>
        </is>
      </c>
      <c r="H6" s="66" t="inlineStr">
        <is>
          <t>《年度经营计划》、《部门绩效考核》《经营管理会议纪要》、《月度经营分析报告》、《重点事项跟踪表》</t>
        </is>
      </c>
      <c r="I6" s="66" t="inlineStr">
        <is>
          <t>日常经营决策权、部门工作调度权、一般人事审批权</t>
        </is>
      </c>
      <c r="J6" s="66" t="inlineStr">
        <is>
          <t>制造业全盘运营管理，生产质量财务综合管理能力</t>
        </is>
      </c>
      <c r="K6" s="67" t="inlineStr">
        <is>
          <t>POS-CHAIR</t>
        </is>
      </c>
      <c r="L6" s="66" t="n"/>
      <c r="M6" s="10" t="n"/>
      <c r="N6" s="10" t="n"/>
    </row>
    <row r="7" ht="60" customFormat="1" customHeight="1" s="62">
      <c r="A7" s="24" t="inlineStr">
        <is>
          <t>POS-FIN-MGR</t>
        </is>
      </c>
      <c r="B7" s="25" t="inlineStr">
        <is>
          <t>财务部负责人</t>
        </is>
      </c>
      <c r="C7" s="24" t="inlineStr">
        <is>
          <t>ORG-FIN</t>
        </is>
      </c>
      <c r="D7" s="25" t="inlineStr">
        <is>
          <t>部门负责人</t>
        </is>
      </c>
      <c r="E7" s="25" t="inlineStr">
        <is>
          <t>现行</t>
        </is>
      </c>
      <c r="F7" s="10" t="inlineStr">
        <is>
          <t>统筹财务核算、资金、税务、成本管理，保障资金安全合规</t>
        </is>
      </c>
      <c r="G7" s="10" t="inlineStr">
        <is>
          <t>全盘账务管理；资金计划与付款审批；税务申报；成本核算；财务报表；会计出纳工作监督复核；内控风险把控</t>
        </is>
      </c>
      <c r="H7" s="10" t="inlineStr">
        <is>
          <t>《资金计划》、《月度财务报表》、《成本分析报告》</t>
        </is>
      </c>
      <c r="I7" s="10" t="inlineStr">
        <is>
          <t>资金付款复核审批、账务审核、财务制度拟定权</t>
        </is>
      </c>
      <c r="J7" s="10" t="inlineStr">
        <is>
          <t>财务全盘管理、税务、成本核算、内控风险识别</t>
        </is>
      </c>
      <c r="K7" s="65" t="inlineStr">
        <is>
          <t>POS-CHAIR</t>
        </is>
      </c>
      <c r="L7" s="66" t="n"/>
      <c r="M7" s="10" t="n"/>
      <c r="N7" s="10" t="n"/>
    </row>
    <row r="8" ht="60" customFormat="1" customHeight="1" s="62">
      <c r="A8" s="32" t="inlineStr">
        <is>
          <t>POS-OPS-MGR</t>
        </is>
      </c>
      <c r="B8" s="34" t="inlineStr">
        <is>
          <t>营运部负责人</t>
        </is>
      </c>
      <c r="C8" s="32" t="inlineStr">
        <is>
          <t>ORG-OPS</t>
        </is>
      </c>
      <c r="D8" s="34" t="inlineStr">
        <is>
          <t>部门负责人</t>
        </is>
      </c>
      <c r="E8" s="34" t="inlineStr">
        <is>
          <t>现行</t>
        </is>
      </c>
      <c r="F8" s="66" t="inlineStr">
        <is>
          <t>合同订单、客户、采购和仓储运营管理</t>
        </is>
      </c>
      <c r="G8" s="66" t="inlineStr">
        <is>
          <t>合同/订单评审、客户沟通、业务跟单、采购、供应商、物料入库和仓储控制</t>
        </is>
      </c>
      <c r="H8" s="66" t="inlineStr">
        <is>
          <t>《订单评审文件》、《仓储盘点汇总报告》</t>
        </is>
      </c>
      <c r="I8" s="66" t="inlineStr">
        <is>
          <t>订单评审决定权、供应商准入建议权</t>
        </is>
      </c>
      <c r="J8" s="66" t="inlineStr">
        <is>
          <t>订单供应链管理，客户及供应商统筹管理</t>
        </is>
      </c>
      <c r="K8" s="67" t="inlineStr">
        <is>
          <t>POS-GM</t>
        </is>
      </c>
      <c r="L8" s="66" t="n"/>
      <c r="M8" s="10" t="n"/>
      <c r="N8" s="10" t="n"/>
    </row>
    <row r="9" ht="60" customFormat="1" customHeight="1" s="62">
      <c r="A9" s="24" t="inlineStr">
        <is>
          <t>POS-ADM-MGR</t>
        </is>
      </c>
      <c r="B9" s="25" t="inlineStr">
        <is>
          <t>行政部负责人</t>
        </is>
      </c>
      <c r="C9" s="24" t="inlineStr">
        <is>
          <t>ORG-ADM</t>
        </is>
      </c>
      <c r="D9" s="25" t="inlineStr">
        <is>
          <t>部门负责人</t>
        </is>
      </c>
      <c r="E9" s="25" t="inlineStr">
        <is>
          <t>现行</t>
        </is>
      </c>
      <c r="F9" s="10" t="inlineStr">
        <is>
          <t>行政、人力资源和培训管理</t>
        </is>
      </c>
      <c r="G9" s="10" t="inlineStr">
        <is>
          <t>制度建设、人事档案、招聘离职、培训考核、企业文化建设</t>
        </is>
      </c>
      <c r="H9" s="10" t="inlineStr">
        <is>
          <t>《安全管理台账》、《安全教育培训台账》</t>
        </is>
      </c>
      <c r="I9" s="10" t="inlineStr">
        <is>
          <t>招聘、解雇及行政审批权限待确认</t>
        </is>
      </c>
      <c r="J9" s="10" t="inlineStr">
        <is>
          <t>人事、培训和行政管理能力待确认</t>
        </is>
      </c>
      <c r="K9" s="65" t="inlineStr">
        <is>
          <t>POS-GM</t>
        </is>
      </c>
      <c r="L9" s="66" t="n"/>
      <c r="M9" s="10" t="n"/>
      <c r="N9" s="10" t="n"/>
    </row>
    <row r="10" ht="60" customFormat="1" customHeight="1" s="62">
      <c r="A10" s="32" t="inlineStr">
        <is>
          <t>POS-PROD-MGR</t>
        </is>
      </c>
      <c r="B10" s="34" t="inlineStr">
        <is>
          <t>生产部负责人</t>
        </is>
      </c>
      <c r="C10" s="32" t="inlineStr">
        <is>
          <t>ORG-PROD</t>
        </is>
      </c>
      <c r="D10" s="34" t="inlineStr">
        <is>
          <t>部门负责人</t>
        </is>
      </c>
      <c r="E10" s="34" t="inlineStr">
        <is>
          <t>现行</t>
        </is>
      </c>
      <c r="F10" s="66" t="inlineStr">
        <is>
          <t>对生产部整体交付、产能、安全、质量、成本结果承担最终责任；统筹生产资源、审批计划、处置重大生产问题，对接各部门达成订单交付目标</t>
        </is>
      </c>
      <c r="G10" s="66" t="inlineStr">
        <is>
          <t>承接公司生产目标，审批生产计划员编制的排产及任务草案；统筹各车间人力、设备、模具资源；决策处置停线、批量不良等重大生产异常；监督生产安全、5S及设备管理；跨部门协调交期、质量冲突；审核生产汇总报表，向总经理汇报绩效。</t>
        </is>
      </c>
      <c r="H10" s="66" t="inlineStr">
        <is>
          <t>《生产任务单（审批版）》、《生产异常汇总报告》、《生产部月度绩效汇总》、《重大生产异常处置意见》</t>
        </is>
      </c>
      <c r="I10" s="66" t="inlineStr">
        <is>
          <t>生产计划审批权；生产资源调度权；生产停线/恢复生产决定权；生产绩效审核权；重大生产异常处置决策权；无具体单据编制权限</t>
        </is>
      </c>
      <c r="J10" s="66" t="inlineStr">
        <is>
          <t>制造业生产全盘管理；产能评估；跨部门沟通协调；现场安全与人员管理；异常风险决策能力</t>
        </is>
      </c>
      <c r="K10" s="67" t="inlineStr">
        <is>
          <t>POS-GM</t>
        </is>
      </c>
      <c r="L10" s="66" t="n"/>
      <c r="M10" s="10" t="n"/>
      <c r="N10" s="10" t="n"/>
    </row>
    <row r="11" ht="60" customFormat="1" customHeight="1" s="62">
      <c r="A11" s="24" t="inlineStr">
        <is>
          <t>POS-QA-MGR</t>
        </is>
      </c>
      <c r="B11" s="25" t="inlineStr">
        <is>
          <t>品质部负责人</t>
        </is>
      </c>
      <c r="C11" s="24" t="inlineStr">
        <is>
          <t>ORG-QA</t>
        </is>
      </c>
      <c r="D11" s="25" t="inlineStr">
        <is>
          <t>部门负责人</t>
        </is>
      </c>
      <c r="E11" s="25" t="inlineStr">
        <is>
          <t>现行</t>
        </is>
      </c>
      <c r="F11" s="10" t="inlineStr">
        <is>
          <t>质量检验与质量体系管理</t>
        </is>
      </c>
      <c r="G11" s="10" t="inlineStr">
        <is>
          <t>来料、制程、最终检验、不合格处置、客诉处理、量具管理、文件控制、6S和持续改进</t>
        </is>
      </c>
      <c r="H11" s="10" t="inlineStr">
        <is>
          <t>《IQC来料检验报告》、《客诉闭环报告》、《量具校准台账》、《受控质量文件清单》</t>
        </is>
      </c>
      <c r="I11" s="10" t="inlineStr">
        <is>
          <t>允收/拒收、放行、隔离和客诉改善权限待确认</t>
        </is>
      </c>
      <c r="J11" s="10" t="inlineStr">
        <is>
          <t>质量检验、根因分析、体系和统计技术能力待确认</t>
        </is>
      </c>
      <c r="K11" s="65" t="inlineStr">
        <is>
          <t>POS-GM</t>
        </is>
      </c>
      <c r="L11" s="66" t="n"/>
      <c r="M11" s="10" t="n"/>
      <c r="N11" s="10" t="n"/>
    </row>
    <row r="12" ht="60" customFormat="1" customHeight="1" s="62">
      <c r="A12" s="32" t="inlineStr">
        <is>
          <t>POS-TECH-MGR</t>
        </is>
      </c>
      <c r="B12" s="34" t="inlineStr">
        <is>
          <t>模具技术负责人</t>
        </is>
      </c>
      <c r="C12" s="32" t="inlineStr">
        <is>
          <t>ORG-PROD-TECH</t>
        </is>
      </c>
      <c r="D12" s="34" t="inlineStr">
        <is>
          <t>班组负责人</t>
        </is>
      </c>
      <c r="E12" s="34" t="inlineStr">
        <is>
          <t>现行</t>
        </is>
      </c>
      <c r="F12" s="66" t="inlineStr">
        <is>
          <t>模具维修与技术管理</t>
        </is>
      </c>
      <c r="G12" s="66" t="inlineStr">
        <is>
          <t>模具维修技术支持；模具维修方案评审；模具技术问题攻关；维修工艺优化；技术文档编制；对接生产和模具维修组</t>
        </is>
      </c>
      <c r="H12" s="66" t="inlineStr">
        <is>
          <t>《模具技术评审记录》、《维修技术方案》、《技术改善报告》</t>
        </is>
      </c>
      <c r="I12" s="66" t="inlineStr">
        <is>
          <t>模具维修技术方案评审、维修工艺建议权限</t>
        </is>
      </c>
      <c r="J12" s="66" t="inlineStr">
        <is>
          <t>模具维修、模具技术问题攻关、维修工艺和现场技术支持</t>
        </is>
      </c>
      <c r="K12" s="67" t="inlineStr">
        <is>
          <t>POS-PROD-MGR</t>
        </is>
      </c>
      <c r="L12" s="66" t="n"/>
      <c r="M12" s="10" t="n"/>
      <c r="N12" s="10" t="n"/>
    </row>
    <row r="13" ht="60" customFormat="1" customHeight="1" s="62">
      <c r="A13" s="24" t="inlineStr">
        <is>
          <t>POS-PROD-SH-SUP</t>
        </is>
      </c>
      <c r="B13" s="25" t="inlineStr">
        <is>
          <t>冲压车间负责人</t>
        </is>
      </c>
      <c r="C13" s="24" t="inlineStr">
        <is>
          <t>ORG-PROD-WORK</t>
        </is>
      </c>
      <c r="D13" s="25" t="inlineStr">
        <is>
          <t>班组负责人</t>
        </is>
      </c>
      <c r="E13" s="25" t="inlineStr">
        <is>
          <t>现行</t>
        </is>
      </c>
      <c r="F13" s="10" t="inlineStr">
        <is>
          <t>承接生产部审批后的正式生产任务，统筹冲压车间人员、设备、生产、安全、5S，保障车间按质按量完成产出，及时上报各类生产异常</t>
        </is>
      </c>
      <c r="G13" s="10" t="inlineStr">
        <is>
          <t>执行生产部下达正式生产任务，安排班组生产作业；车间人员排班、工位调配，落实安全与5S管理；监督设备点检，发起设备/模具故障报修；汇总生产日报，隔离现场不良并上报异常；配合模具组完成上机、换模试模；开展安全巡检，闭环现场隐患。</t>
        </is>
      </c>
      <c r="H13" s="10" t="inlineStr">
        <is>
          <t>《冲压车间工位生产日报汇总》、《冲压车间异常反馈单》、《冲床设备点检汇总表》、《车间安全&amp;5S巡检记录》</t>
        </is>
      </c>
      <c r="I13" s="10" t="inlineStr">
        <is>
          <t>车间内部人员与工位调度权；现场异常上报权；设备故障报修发起权；无生产计划审批权、无权变更生产任务</t>
        </is>
      </c>
      <c r="J13" s="10" t="inlineStr">
        <is>
          <t>冲压现场生产管理；冲床设备基础认知；人员排班调度；生产进度管控；安全5S管理；异常识别上报能力</t>
        </is>
      </c>
      <c r="K13" s="65" t="inlineStr">
        <is>
          <t>POS-PROD-MGR</t>
        </is>
      </c>
      <c r="L13" s="66" t="n"/>
      <c r="M13" s="10" t="n"/>
      <c r="N13" s="10" t="n"/>
    </row>
    <row r="14" ht="60" customFormat="1" customHeight="1" s="62">
      <c r="A14" s="32" t="inlineStr">
        <is>
          <t>POS-PROD-WASH-MGR</t>
        </is>
      </c>
      <c r="B14" s="34" t="inlineStr">
        <is>
          <t>清洗车间负责人</t>
        </is>
      </c>
      <c r="C14" s="32" t="inlineStr">
        <is>
          <t>ORG-PROD-WASH</t>
        </is>
      </c>
      <c r="D14" s="34" t="inlineStr">
        <is>
          <t>班组负责人</t>
        </is>
      </c>
      <c r="E14" s="34" t="inlineStr">
        <is>
          <t>现行</t>
        </is>
      </c>
      <c r="F14" s="66" t="inlineStr">
        <is>
          <t>清洗车间班组管理，清洗任务统筹，人员排班</t>
        </is>
      </c>
      <c r="G14" s="66" t="inlineStr">
        <is>
          <t>清洗生产任务分派；人员排班；设备状态监控；班组5S安全；作业质量监督；异常协调</t>
        </is>
      </c>
      <c r="H14" s="66" t="inlineStr">
        <is>
          <t>《清洗作业计划》、《班组巡检记录》</t>
        </is>
      </c>
      <c r="I14" s="66" t="inlineStr">
        <is>
          <t>班组任务调度、现场异常协调权限</t>
        </is>
      </c>
      <c r="J14" s="66" t="inlineStr">
        <is>
          <t>产品清洗工艺、班组现场管理</t>
        </is>
      </c>
      <c r="K14" s="67" t="inlineStr">
        <is>
          <t>POS-PROD-WASH</t>
        </is>
      </c>
      <c r="L14" s="66" t="n"/>
      <c r="M14" s="10" t="n"/>
      <c r="N14" s="10" t="n"/>
    </row>
    <row r="15" ht="60" customFormat="1" customHeight="1" s="62">
      <c r="A15" s="24" t="inlineStr">
        <is>
          <t>POS-PROD-PLAN</t>
        </is>
      </c>
      <c r="B15" s="25" t="inlineStr">
        <is>
          <t>生产计划员</t>
        </is>
      </c>
      <c r="C15" s="24" t="inlineStr">
        <is>
          <t>ORG-PROD</t>
        </is>
      </c>
      <c r="D15" s="25" t="inlineStr">
        <is>
          <t>部门成员</t>
        </is>
      </c>
      <c r="E15" s="25" t="inlineStr">
        <is>
          <t>现行</t>
        </is>
      </c>
      <c r="F15" s="10" t="inlineStr">
        <is>
          <t>承接订单信息，完成生产计划编制、物料齐套核查、进度跟踪，输出计划方案提交生产部负责人审批，跟进车间执行进度，反馈交期风险</t>
        </is>
      </c>
      <c r="G15" s="10" t="inlineStr">
        <is>
          <t>编制主生产排产计划；开展物料齐套核查；统计产量</t>
        </is>
      </c>
      <c r="H15" s="10" t="inlineStr">
        <is>
          <t>《生产排产计划表》、《物料齐套核查表》、《日产量报表》、《月产量报表》</t>
        </is>
      </c>
      <c r="I15" s="10" t="inlineStr">
        <is>
          <t>计划草案编制权；物料齐套核查权；生产进度跟踪权；交期风险上报权；无计划审批权，不得直接下发正式生产任务</t>
        </is>
      </c>
      <c r="J15" s="10" t="inlineStr">
        <is>
          <t>看得懂产品图纸工艺；生产排产编制；物料齐套分析；订单交期管控；台账报表编制；跨班组信息沟通；知晓本岗位输出方案需要上级审批</t>
        </is>
      </c>
      <c r="K15" s="65" t="inlineStr">
        <is>
          <t>POS-PROD-MGR</t>
        </is>
      </c>
      <c r="L15" s="66" t="n"/>
      <c r="M15" s="10" t="n"/>
      <c r="N15" s="10" t="n"/>
    </row>
    <row r="16" ht="60" customFormat="1" customHeight="1" s="62">
      <c r="A16" s="32" t="inlineStr">
        <is>
          <t>POS-ADM-SEC</t>
        </is>
      </c>
      <c r="B16" s="34" t="inlineStr">
        <is>
          <t>门卫</t>
        </is>
      </c>
      <c r="C16" s="32" t="inlineStr">
        <is>
          <t>ORG-ADM-LOG</t>
        </is>
      </c>
      <c r="D16" s="34" t="inlineStr">
        <is>
          <t>班组成员</t>
        </is>
      </c>
      <c r="E16" s="34" t="inlineStr">
        <is>
          <t>现行</t>
        </is>
      </c>
      <c r="F16" s="66" t="inlineStr">
        <is>
          <t>厂区人员、车辆出入管控，厂区安保巡逻</t>
        </is>
      </c>
      <c r="G16" s="66" t="inlineStr">
        <is>
          <t>人员进出登记；外来访客登记；车辆进出管理；厂区夜间巡逻；厂区安防异常上报</t>
        </is>
      </c>
      <c r="H16" s="66" t="inlineStr">
        <is>
          <t>《访客出入登记本》、《厂区巡逻记录》</t>
        </is>
      </c>
      <c r="I16" s="66" t="inlineStr">
        <is>
          <t>出入登记核查权限</t>
        </is>
      </c>
      <c r="J16" s="66" t="inlineStr">
        <is>
          <t>服从排班，安保值守，基础应急识别</t>
        </is>
      </c>
      <c r="K16" s="67" t="inlineStr">
        <is>
          <t>POS-CHAIR</t>
        </is>
      </c>
      <c r="L16" s="66" t="n"/>
      <c r="M16" s="10" t="n"/>
      <c r="N16" s="10" t="n"/>
    </row>
    <row r="17" ht="60" customFormat="1" customHeight="1" s="62">
      <c r="A17" s="24" t="inlineStr">
        <is>
          <t>POS-ADM-SK</t>
        </is>
      </c>
      <c r="B17" s="25" t="inlineStr">
        <is>
          <t>炊事员</t>
        </is>
      </c>
      <c r="C17" s="24" t="inlineStr">
        <is>
          <t>ORG-ADM-LOG</t>
        </is>
      </c>
      <c r="D17" s="25" t="inlineStr">
        <is>
          <t>班组成员</t>
        </is>
      </c>
      <c r="E17" s="25" t="inlineStr">
        <is>
          <t>现行</t>
        </is>
      </c>
      <c r="F17" s="10" t="inlineStr">
        <is>
          <t>员工食堂食材加工、餐食制作、食堂环境卫生</t>
        </is>
      </c>
      <c r="G17" s="10" t="inlineStr">
        <is>
          <t>三餐制作；厨具清洁消毒；食堂区域卫生；食材保管；餐具清洗消毒</t>
        </is>
      </c>
      <c r="H17" s="10" t="inlineStr">
        <is>
          <t>《食堂消毒记录》</t>
        </is>
      </c>
      <c r="I17" s="10" t="inlineStr">
        <is>
          <t>食材使用、厨具管理权限</t>
        </is>
      </c>
      <c r="J17" s="10" t="inlineStr">
        <is>
          <t>食品加工，卫生操作规范</t>
        </is>
      </c>
      <c r="K17" s="65" t="inlineStr">
        <is>
          <t>POS-CHAIR</t>
        </is>
      </c>
      <c r="L17" s="66" t="n"/>
      <c r="M17" s="10" t="n"/>
      <c r="N17" s="10" t="n"/>
    </row>
    <row r="18" ht="60" customFormat="1" customHeight="1" s="62">
      <c r="A18" s="32" t="inlineStr">
        <is>
          <t>POS-PROD-PK</t>
        </is>
      </c>
      <c r="B18" s="34" t="inlineStr">
        <is>
          <t>包装工</t>
        </is>
      </c>
      <c r="C18" s="32" t="inlineStr">
        <is>
          <t>ORG-OPS-WH</t>
        </is>
      </c>
      <c r="D18" s="34" t="inlineStr">
        <is>
          <t>班组成员</t>
        </is>
      </c>
      <c r="E18" s="34" t="inlineStr">
        <is>
          <t>现行</t>
        </is>
      </c>
      <c r="F18" s="66" t="inlineStr">
        <is>
          <t>成品包装、标识，按要求完成出货包装作业</t>
        </is>
      </c>
      <c r="G18" s="66" t="inlineStr">
        <is>
          <t>成品分拣、包装、贴标签；包装物料领用；包装工位5S；包装不良反馈</t>
        </is>
      </c>
      <c r="H18" s="66" t="inlineStr">
        <is>
          <t>《包装作业记录》</t>
        </is>
      </c>
      <c r="I18" s="66" t="inlineStr">
        <is>
          <t>包装物料领用权限</t>
        </is>
      </c>
      <c r="J18" s="66" t="inlineStr">
        <is>
          <t>看懂包装要求，动手包装作业</t>
        </is>
      </c>
      <c r="K18" s="67" t="inlineStr">
        <is>
          <t>POS-PROD-WH</t>
        </is>
      </c>
      <c r="L18" s="66" t="n"/>
      <c r="M18" s="10" t="n"/>
      <c r="N18" s="10" t="n"/>
    </row>
    <row r="19" ht="60" customFormat="1" customHeight="1" s="62">
      <c r="A19" s="24" t="inlineStr">
        <is>
          <t>POS-PROD-WH</t>
        </is>
      </c>
      <c r="B19" s="25" t="inlineStr">
        <is>
          <t>仓库员</t>
        </is>
      </c>
      <c r="C19" s="24" t="inlineStr">
        <is>
          <t>ORG-OPS-WH</t>
        </is>
      </c>
      <c r="D19" s="25" t="inlineStr">
        <is>
          <t>班组成员</t>
        </is>
      </c>
      <c r="E19" s="25" t="inlineStr">
        <is>
          <t>现行</t>
        </is>
      </c>
      <c r="F19" s="10" t="inlineStr">
        <is>
          <t>物料、半成品、成品出入库，库存台账管理，仓储5S</t>
        </is>
      </c>
      <c r="G19" s="10" t="inlineStr">
        <is>
          <t>物料收货入库；物料出库发料；成品入库出货；库位管理；盘点；物料防护；台账登记</t>
        </is>
      </c>
      <c r="H19" s="10" t="inlineStr">
        <is>
          <t>《物料出入库单据》、《出入库存台账》、《季度盘点表》</t>
        </is>
      </c>
      <c r="I19" s="10" t="inlineStr">
        <is>
          <t>物料收发、库位调整权限</t>
        </is>
      </c>
      <c r="J19" s="10" t="inlineStr">
        <is>
          <t>仓库账务、物料识别、盘点作业</t>
        </is>
      </c>
      <c r="K19" s="65" t="inlineStr">
        <is>
          <t>POS-PROD-PK</t>
        </is>
      </c>
      <c r="L19" s="66" t="n"/>
      <c r="M19" s="10" t="n"/>
      <c r="N19" s="10" t="n"/>
    </row>
    <row r="20" ht="60" customFormat="1" customHeight="1" s="62">
      <c r="A20" s="32" t="inlineStr">
        <is>
          <t>POS-PROD-WH-SUP</t>
        </is>
      </c>
      <c r="B20" s="34" t="inlineStr">
        <is>
          <t>仓储组长</t>
        </is>
      </c>
      <c r="C20" s="32" t="inlineStr">
        <is>
          <t>ORG-OPS-WH</t>
        </is>
      </c>
      <c r="D20" s="34" t="inlineStr">
        <is>
          <t>班组负责人</t>
        </is>
      </c>
      <c r="E20" s="34" t="inlineStr">
        <is>
          <t>现行</t>
        </is>
      </c>
      <c r="F20" s="66" t="inlineStr">
        <is>
          <t>统筹仓储组仓库员、包装工，负责物料/半成品/成品出入库、库位管理、盘点、包装作业，管控仓储现场5S，保障账物相符，及时反馈物料异常</t>
        </is>
      </c>
      <c r="G20" s="66" t="inlineStr">
        <is>
          <t>1.统筹仓库员、包装工执行物料收发、成品包装、入库出库作业；2.规划库位，监督物料、半成品、成品定置存放，落实仓储5S；3.组织季度盘点，复核出入库台账，核对账实差异，跟进差异闭环；4.接收物料缺料、来料不良信息，向营运部反馈物料异常；5.复核仓储各类台账单据，定期向营运部负责人汇报仓储情况；6.仓储人员排班、作业督导，落实仓储安全防护；7.出货前配合业务组完成出货备货核对</t>
        </is>
      </c>
      <c r="H20" s="66" t="inlineStr">
        <is>
          <t>《仓储盘点汇总表》、《仓储异常反馈记录》、《出入库台账复核记录》、《出货备货核对记录》</t>
        </is>
      </c>
      <c r="I20" s="66" t="inlineStr">
        <is>
          <t>仓储内部作业人员调度权；库位调整建议权；物料异常上报权；无采购下单、价格审批权限</t>
        </is>
      </c>
      <c r="J20" s="66" t="inlineStr">
        <is>
          <t>仓储现场管理；物料识别；盘点对账；账物差异处理；班组基础管理；安全5S管理能力</t>
        </is>
      </c>
      <c r="K20" s="67" t="inlineStr">
        <is>
          <t>POS-OPS-MGR</t>
        </is>
      </c>
      <c r="L20" s="66" t="n"/>
      <c r="M20" s="10" t="n"/>
      <c r="N20" s="10" t="n"/>
    </row>
    <row r="21" ht="60" customFormat="1" customHeight="1" s="62">
      <c r="A21" s="24" t="inlineStr">
        <is>
          <t>POS-PROD-WORK-STP</t>
        </is>
      </c>
      <c r="B21" s="25" t="inlineStr">
        <is>
          <t>冲床操作工</t>
        </is>
      </c>
      <c r="C21" s="24" t="inlineStr">
        <is>
          <t>ORG-PROD-WORK</t>
        </is>
      </c>
      <c r="D21" s="25" t="inlineStr">
        <is>
          <t>班组成员</t>
        </is>
      </c>
      <c r="E21" s="25" t="inlineStr">
        <is>
          <t>现行</t>
        </is>
      </c>
      <c r="F21" s="10" t="inlineStr">
        <is>
          <t>操作冲床设备，按工艺完成产品冲压生产</t>
        </is>
      </c>
      <c r="G21" s="10" t="inlineStr">
        <is>
          <t>设备开机点检；按作业指导书进行冲压作业；首件确认；生产自检；设备日常保养；工位5S；不良品隔离</t>
        </is>
      </c>
      <c r="H21" s="10" t="inlineStr">
        <is>
          <t>《冲床设备点检记录》、工位生产日报、《不良品隔离标识记录》</t>
        </is>
      </c>
      <c r="I21" s="10" t="inlineStr">
        <is>
          <t>设备启停操作权限</t>
        </is>
      </c>
      <c r="J21" s="10" t="inlineStr">
        <is>
          <t>本工位自检判定；看懂作业指导书；冲床设备操作；安全操作规范</t>
        </is>
      </c>
      <c r="K21" s="24" t="inlineStr">
        <is>
          <t>POS-PROD-SH-SUP</t>
        </is>
      </c>
      <c r="L21" s="66" t="n"/>
      <c r="M21" s="10" t="n"/>
      <c r="N21" s="10" t="n"/>
    </row>
    <row r="22" ht="60" customFormat="1" customHeight="1" s="62">
      <c r="A22" s="32" t="inlineStr">
        <is>
          <t>POS-PROD-MOLD-REP</t>
        </is>
      </c>
      <c r="B22" s="34" t="inlineStr">
        <is>
          <t>模具检修工</t>
        </is>
      </c>
      <c r="C22" s="32" t="inlineStr">
        <is>
          <t>ORG-PROD-MOLD</t>
        </is>
      </c>
      <c r="D22" s="34" t="inlineStr">
        <is>
          <t>班组成员</t>
        </is>
      </c>
      <c r="E22" s="34" t="inlineStr">
        <is>
          <t>现行</t>
        </is>
      </c>
      <c r="F22" s="66" t="inlineStr">
        <is>
          <t>模具维修、保养、简单改模，保障模具正常上机生产</t>
        </is>
      </c>
      <c r="G22" s="66" t="inlineStr">
        <is>
          <t>模具拆装；故障维修；日常保养；模具简单修模改模；模具状态记录；模具5S</t>
        </is>
      </c>
      <c r="H22" s="66" t="inlineStr">
        <is>
          <t>《模具维修保养记录》</t>
        </is>
      </c>
      <c r="I22" s="66" t="inlineStr">
        <is>
          <t>模具拆装维修操作权限</t>
        </is>
      </c>
      <c r="J22" s="66" t="inlineStr">
        <is>
          <t>模具识图，模具故障判断，钳工基础</t>
        </is>
      </c>
      <c r="K22" s="32" t="inlineStr">
        <is>
          <t>POS-PROD-MOLD-SUP</t>
        </is>
      </c>
      <c r="L22" s="66" t="n"/>
      <c r="M22" s="10" t="n"/>
      <c r="N22" s="10" t="n"/>
    </row>
    <row r="23" ht="60" customFormat="1" customHeight="1" s="62">
      <c r="A23" s="24" t="inlineStr">
        <is>
          <t>POS-PROD-MOLD-UP-SUP</t>
        </is>
      </c>
      <c r="B23" s="25" t="inlineStr">
        <is>
          <t>上机壳模具组长</t>
        </is>
      </c>
      <c r="C23" s="24" t="inlineStr">
        <is>
          <t>ORG-PROD-MOLD</t>
        </is>
      </c>
      <c r="D23" s="25" t="inlineStr">
        <is>
          <t>班组负责人</t>
        </is>
      </c>
      <c r="E23" s="25" t="inlineStr">
        <is>
          <t>现行</t>
        </is>
      </c>
      <c r="F23" s="10" t="inlineStr">
        <is>
          <t>模具车间班组管理，统筹模具维修保养任务分配</t>
        </is>
      </c>
      <c r="G23" s="10" t="inlineStr">
        <is>
          <t>上机壳维修任务分派；上机壳模具故障统筹处理；上机壳班组人员排班；上机壳模具台账管理；上机壳班组安全5S；技术经验传递</t>
        </is>
      </c>
      <c r="H23" s="10" t="inlineStr">
        <is>
          <t>《上机壳模具维修计划》、《上机壳模具台账》、《上机壳班组巡检记录》</t>
        </is>
      </c>
      <c r="I23" s="10" t="inlineStr">
        <is>
          <t>班组任务调度、模具维修方案建议权限</t>
        </is>
      </c>
      <c r="J23" s="10" t="inlineStr">
        <is>
          <t>模具维修技能、班组现场管理</t>
        </is>
      </c>
      <c r="K23" s="24" t="inlineStr">
        <is>
          <t>POS-TECH-MGR</t>
        </is>
      </c>
      <c r="L23" s="66" t="n"/>
      <c r="M23" s="10" t="n"/>
      <c r="N23" s="10" t="n"/>
    </row>
    <row r="24" ht="60" customFormat="1" customHeight="1" s="62">
      <c r="A24" s="24" t="inlineStr">
        <is>
          <t>POS-PROD-MOLD-DOWN-SUP</t>
        </is>
      </c>
      <c r="B24" s="25" t="inlineStr">
        <is>
          <t>下机壳模具组长</t>
        </is>
      </c>
      <c r="C24" s="24" t="inlineStr">
        <is>
          <t>ORG-PROD-MOLD</t>
        </is>
      </c>
      <c r="D24" s="25" t="inlineStr">
        <is>
          <t>班组负责人</t>
        </is>
      </c>
      <c r="E24" s="25" t="inlineStr">
        <is>
          <t>现行</t>
        </is>
      </c>
      <c r="F24" s="10" t="inlineStr">
        <is>
          <t>模具车间班组管理，统筹模具维修保养任务分配</t>
        </is>
      </c>
      <c r="G24" s="10" t="inlineStr">
        <is>
          <t>下机壳维修任务分派；下机壳模具故障统筹处理；下机壳班组人员排班；下机壳模具台账管理；下机壳班组安全5S；技术经验传递</t>
        </is>
      </c>
      <c r="H24" s="10" t="inlineStr">
        <is>
          <t>《下机壳模具维修计划》、《下机壳模具台账》、《下机壳班组巡检记录》</t>
        </is>
      </c>
      <c r="I24" s="10" t="inlineStr">
        <is>
          <t>班组任务调度、模具维修方案建议权限</t>
        </is>
      </c>
      <c r="J24" s="10" t="inlineStr">
        <is>
          <t>模具维修技能、班组现场管理</t>
        </is>
      </c>
      <c r="K24" s="24" t="inlineStr">
        <is>
          <t>POS-TECH-MGR</t>
        </is>
      </c>
      <c r="L24" s="66" t="n"/>
      <c r="M24" s="10" t="n"/>
      <c r="N24" s="10" t="n"/>
    </row>
    <row r="25" ht="60" customFormat="1" customHeight="1" s="62">
      <c r="A25" s="32" t="inlineStr">
        <is>
          <t>POS-QA-IPQC</t>
        </is>
      </c>
      <c r="B25" s="34" t="inlineStr">
        <is>
          <t>质检员（制程巡检）</t>
        </is>
      </c>
      <c r="C25" s="32" t="inlineStr">
        <is>
          <t>ORG-QA-IPQC</t>
        </is>
      </c>
      <c r="D25" s="34" t="inlineStr">
        <is>
          <t>班组成员</t>
        </is>
      </c>
      <c r="E25" s="34" t="inlineStr">
        <is>
          <t>现行</t>
        </is>
      </c>
      <c r="F25" s="66" t="inlineStr">
        <is>
          <t>生产过程巡回质量检查，监督制程质量，及时反馈制程异常</t>
        </is>
      </c>
      <c r="G25" s="66" t="inlineStr">
        <is>
          <t>产线巡回抽检；核对工艺执行；制程不良发现反馈；首件复核；巡检记录；现场不良标识隔离</t>
        </is>
      </c>
      <c r="H25" s="66" t="inlineStr">
        <is>
          <t>《制程巡检记录》、《制程异常反馈单》</t>
        </is>
      </c>
      <c r="I25" s="66" t="inlineStr">
        <is>
          <t>制程质量监督、异常上报权限</t>
        </is>
      </c>
      <c r="J25" s="66" t="inlineStr">
        <is>
          <t>熟悉产品工艺，现场巡检，量具使用</t>
        </is>
      </c>
      <c r="K25" s="32" t="inlineStr">
        <is>
          <t>POS-QA-IPQC-SUP</t>
        </is>
      </c>
      <c r="L25" s="66" t="n"/>
      <c r="M25" s="10" t="n"/>
      <c r="N25" s="10" t="n"/>
    </row>
    <row r="26" ht="55" customFormat="1" customHeight="1" s="62">
      <c r="A26" s="24" t="inlineStr">
        <is>
          <t>POS-QA-OQC</t>
        </is>
      </c>
      <c r="B26" s="25" t="inlineStr">
        <is>
          <t>质检员（来料/出货检验）</t>
        </is>
      </c>
      <c r="C26" s="24" t="inlineStr">
        <is>
          <t>ORG-QA-FG</t>
        </is>
      </c>
      <c r="D26" s="25" t="inlineStr">
        <is>
          <t>班组成员</t>
        </is>
      </c>
      <c r="E26" s="25" t="inlineStr">
        <is>
          <t>现行</t>
        </is>
      </c>
      <c r="F26" s="10" t="inlineStr">
        <is>
          <t>负责来料、最终成品检验</t>
        </is>
      </c>
      <c r="G26" s="10" t="inlineStr">
        <is>
          <t>来料检验、成品终检；填写检验记录；质量异常上报；不良标识隔离；量具日常点检</t>
        </is>
      </c>
      <c r="H26" s="10" t="inlineStr">
        <is>
          <t>《来料/成品检验记录》、《不合格品标识记录》</t>
        </is>
      </c>
      <c r="I26" s="10" t="inlineStr">
        <is>
          <t>按授权执行检验、标识和反馈；放行权限按RACI</t>
        </is>
      </c>
      <c r="J26" s="10" t="inlineStr">
        <is>
          <t>会使用各类检验量具，识别不良品，填写质量记录</t>
        </is>
      </c>
      <c r="K26" s="24" t="inlineStr">
        <is>
          <t>POS-QA-FG-SUP</t>
        </is>
      </c>
      <c r="L26" s="66" t="n"/>
      <c r="M26" s="10" t="n"/>
      <c r="N26" s="10" t="n"/>
    </row>
    <row r="27" ht="55" customFormat="1" customHeight="1" s="62">
      <c r="A27" s="32" t="inlineStr">
        <is>
          <t>POS-QA-IPQC-SUP</t>
        </is>
      </c>
      <c r="B27" s="34" t="inlineStr">
        <is>
          <t>制程巡检组长</t>
        </is>
      </c>
      <c r="C27" s="32" t="inlineStr">
        <is>
          <t>ORG-QA-IPQC</t>
        </is>
      </c>
      <c r="D27" s="34" t="inlineStr">
        <is>
          <t>班组负责人</t>
        </is>
      </c>
      <c r="E27" s="34" t="inlineStr">
        <is>
          <t>现行</t>
        </is>
      </c>
      <c r="F27" s="66" t="inlineStr">
        <is>
          <t>制程巡检组日常管理，检验任务分配，质量异常初步处置</t>
        </is>
      </c>
      <c r="G27" s="66" t="inlineStr">
        <is>
          <t>检验任务排班；检验工作督导；检验记录复核；现场质量问题初步协调；班组5S；人员实操带教</t>
        </is>
      </c>
      <c r="H27" s="66" t="inlineStr">
        <is>
          <t>《制程班组检验汇总记录》、《质量异常初步处置记录》</t>
        </is>
      </c>
      <c r="I27" s="66" t="inlineStr">
        <is>
          <t>制程检验任务分派、现场质量问题初步处置权限</t>
        </is>
      </c>
      <c r="J27" s="66" t="inlineStr">
        <is>
          <t>制程班质量检验技能，班组现场管理</t>
        </is>
      </c>
      <c r="K27" s="32" t="inlineStr">
        <is>
          <t>POS-QA-MGR</t>
        </is>
      </c>
      <c r="L27" s="66" t="n"/>
    </row>
    <row r="28" ht="55" customFormat="1" customHeight="1" s="62">
      <c r="A28" s="24" t="inlineStr">
        <is>
          <t>POS-QA-FG-SUP</t>
        </is>
      </c>
      <c r="B28" s="25" t="inlineStr">
        <is>
          <t>成品出货检验组长</t>
        </is>
      </c>
      <c r="C28" s="24" t="inlineStr">
        <is>
          <t>ORG-QA-FG</t>
        </is>
      </c>
      <c r="D28" s="25" t="inlineStr">
        <is>
          <t>班组负责人</t>
        </is>
      </c>
      <c r="E28" s="25" t="inlineStr">
        <is>
          <t>现行</t>
        </is>
      </c>
      <c r="F28" s="10" t="inlineStr">
        <is>
          <t>成品出货检验日常管理，检验任务分配，质量异常初步处置</t>
        </is>
      </c>
      <c r="G28" s="10" t="inlineStr">
        <is>
          <t>检验任务排班；检验工作督导；检验记录复核；现场质量问题初步协调；班组5S；人员实操带教</t>
        </is>
      </c>
      <c r="H28" s="10" t="inlineStr">
        <is>
          <t>《终品班组检验汇总记录》、《质量异常初步处置记录》</t>
        </is>
      </c>
      <c r="I28" s="10" t="inlineStr">
        <is>
          <t>终品检验任务分派、现场质量问题初步处置权限</t>
        </is>
      </c>
      <c r="J28" s="10" t="inlineStr">
        <is>
          <t>终品质量检验技能，班组现场管理</t>
        </is>
      </c>
      <c r="K28" s="24" t="inlineStr">
        <is>
          <t>POS-QA-MGR</t>
        </is>
      </c>
      <c r="L28" s="66" t="n"/>
    </row>
    <row r="29" ht="55" customFormat="1" customHeight="1" s="62">
      <c r="A29" s="32" t="inlineStr">
        <is>
          <t>POS-PROD-WASH</t>
        </is>
      </c>
      <c r="B29" s="34" t="inlineStr">
        <is>
          <t>清洗工</t>
        </is>
      </c>
      <c r="C29" s="32" t="inlineStr">
        <is>
          <t>ORG-PROD-WASH</t>
        </is>
      </c>
      <c r="D29" s="34" t="inlineStr">
        <is>
          <t>班组成员</t>
        </is>
      </c>
      <c r="E29" s="34" t="inlineStr">
        <is>
          <t>现行</t>
        </is>
      </c>
      <c r="F29" s="66" t="inlineStr">
        <is>
          <t>按工艺完成产品清洗作业，做好清洗工位作业与自检</t>
        </is>
      </c>
      <c r="G29" s="66" t="inlineStr">
        <is>
          <t>清洗设备操作；产品装夹清洗；清洗后自检；设备日常清洁保养；工位5S；不良隔离</t>
        </is>
      </c>
      <c r="H29" s="66" t="inlineStr">
        <is>
          <t>《清洗作业记录》、《清洗设备点检表》、不良隔离记录</t>
        </is>
      </c>
      <c r="I29" s="66" t="inlineStr">
        <is>
          <t>清洗设备操作权限</t>
        </is>
      </c>
      <c r="J29" s="66" t="inlineStr">
        <is>
          <t>看懂作业指导书，清洗设备操作，识别外观不良</t>
        </is>
      </c>
      <c r="K29" s="67" t="inlineStr">
        <is>
          <t>POS-PROD-WASH-MGR</t>
        </is>
      </c>
      <c r="L29" s="66" t="n"/>
    </row>
    <row r="30" ht="55" customHeight="1">
      <c r="A30" s="24" t="inlineStr">
        <is>
          <t>POS-OPS-ORD</t>
        </is>
      </c>
      <c r="B30" s="25" t="inlineStr">
        <is>
          <t>跟单员</t>
        </is>
      </c>
      <c r="C30" s="24" t="inlineStr">
        <is>
          <t>ORG-OPS-BIZ</t>
        </is>
      </c>
      <c r="D30" s="25" t="inlineStr">
        <is>
          <t>班组成员</t>
        </is>
      </c>
      <c r="E30" s="25" t="inlineStr">
        <is>
          <t>现行</t>
        </is>
      </c>
      <c r="F30" s="10" t="inlineStr">
        <is>
          <t>订单全流程跟进，对接客户，跟进交期，信息同步客户内部</t>
        </is>
      </c>
      <c r="G30" s="10" t="inlineStr">
        <is>
          <t>订单录入；交期跟进；客户沟通；生产进度同步；出货跟进；客户信息记录；订单异常反馈</t>
        </is>
      </c>
      <c r="H30" s="10" t="inlineStr">
        <is>
          <t>《订单台账》、《客户沟通记录》、《出货通知单》</t>
        </is>
      </c>
      <c r="I30" s="10" t="inlineStr">
        <is>
          <t>订单进度跟踪、客户信息对接权限</t>
        </is>
      </c>
      <c r="J30" s="10" t="inlineStr">
        <is>
          <t>订单跟进，客户沟通，基础表单记录</t>
        </is>
      </c>
      <c r="K30" s="65" t="inlineStr">
        <is>
          <t>POS-GM</t>
        </is>
      </c>
      <c r="L30" s="66" t="n"/>
    </row>
    <row r="31" ht="55" customHeight="1">
      <c r="A31" s="32" t="inlineStr">
        <is>
          <t>POS-FIN-CASH</t>
        </is>
      </c>
      <c r="B31" s="34" t="inlineStr">
        <is>
          <t>出纳</t>
        </is>
      </c>
      <c r="C31" s="32" t="inlineStr">
        <is>
          <t>ORG-FIN-CASH</t>
        </is>
      </c>
      <c r="D31" s="34" t="inlineStr">
        <is>
          <t>班组成员</t>
        </is>
      </c>
      <c r="E31" s="34" t="inlineStr">
        <is>
          <t>现行</t>
        </is>
      </c>
      <c r="F31" s="66" t="inlineStr">
        <is>
          <t>公司现金、银行收付，资金台账，票据管理</t>
        </is>
      </c>
      <c r="G31" s="66" t="inlineStr">
        <is>
          <t>现金银行收付；银行对账；资金流水登记；票据保管；费用报销初审；配合会计账务处理</t>
        </is>
      </c>
      <c r="H31" s="66" t="inlineStr">
        <is>
          <t>现金日记账、银行流水台账、票据保管台账</t>
        </is>
      </c>
      <c r="I31" s="66" t="inlineStr">
        <is>
          <t>资金收付执行权限，无审批权</t>
        </is>
      </c>
      <c r="J31" s="66" t="inlineStr">
        <is>
          <t>现金银行业务，票据管理，基础财务规范</t>
        </is>
      </c>
      <c r="K31" s="67" t="inlineStr">
        <is>
          <t>POS-CHAIR</t>
        </is>
      </c>
      <c r="L31" s="66" t="n"/>
    </row>
    <row r="32" ht="55" customHeight="1">
      <c r="A32" s="24" t="inlineStr">
        <is>
          <t>POS-FIN-ACC</t>
        </is>
      </c>
      <c r="B32" s="25" t="inlineStr">
        <is>
          <t>会计</t>
        </is>
      </c>
      <c r="C32" s="24" t="inlineStr">
        <is>
          <t>ORG-FIN-ACC</t>
        </is>
      </c>
      <c r="D32" s="25" t="inlineStr">
        <is>
          <t>班组成员</t>
        </is>
      </c>
      <c r="E32" s="25" t="inlineStr">
        <is>
          <t>现行</t>
        </is>
      </c>
      <c r="F32" s="10" t="inlineStr">
        <is>
          <t>账务处理、报税、成本核算、财务凭证报表编制</t>
        </is>
      </c>
      <c r="G32" s="10" t="inlineStr">
        <is>
          <t>凭证处理；全盘账务；税务申报；成本核算；编制财务报表；档案归档；出纳账务核对</t>
        </is>
      </c>
      <c r="H32" s="10" t="inlineStr">
        <is>
          <t>《会计凭证》、《月度财务报表》、《税务申报表》、财务档案</t>
        </is>
      </c>
      <c r="I32" s="10" t="inlineStr">
        <is>
          <t>账务处理、报税操作权限</t>
        </is>
      </c>
      <c r="J32" s="10" t="inlineStr">
        <is>
          <t>全盘账务处理，税务申报，成本核算</t>
        </is>
      </c>
      <c r="K32" s="65" t="inlineStr">
        <is>
          <t>POS-CHAIR</t>
        </is>
      </c>
      <c r="L32" s="66" t="n"/>
    </row>
    <row r="33" ht="55" customHeight="1">
      <c r="A33" s="32" t="inlineStr">
        <is>
          <t>POS-ADM-HR</t>
        </is>
      </c>
      <c r="B33" s="34" t="inlineStr">
        <is>
          <t>人事员</t>
        </is>
      </c>
      <c r="C33" s="32" t="inlineStr">
        <is>
          <t>ORG-ADM-HR</t>
        </is>
      </c>
      <c r="D33" s="34" t="inlineStr">
        <is>
          <t>班组成员</t>
        </is>
      </c>
      <c r="E33" s="34" t="inlineStr">
        <is>
          <t>现行</t>
        </is>
      </c>
      <c r="F33" s="66" t="inlineStr">
        <is>
          <t>人事执行类工作，招聘、考勤、入离职、档案维护</t>
        </is>
      </c>
      <c r="G33" s="66" t="inlineStr">
        <is>
          <t>招聘渠道执行；入职离职手续办理；考勤统计；员工档案维护；社保办理；培训执行；人事表单维护</t>
        </is>
      </c>
      <c r="H33" s="66" t="inlineStr">
        <is>
          <t>《员工人事档案》、《月度考勤汇总表》、《招聘台账》、社保办理记录</t>
        </is>
      </c>
      <c r="I33" s="66" t="inlineStr">
        <is>
          <t>人事事务执行权限，无高层人事审批权限</t>
        </is>
      </c>
      <c r="J33" s="66" t="inlineStr">
        <is>
          <t>人事基础业务，档案管理，社保经办</t>
        </is>
      </c>
      <c r="K33" s="67" t="inlineStr">
        <is>
          <t>POS-GM</t>
        </is>
      </c>
      <c r="L33" s="70" t="n"/>
    </row>
    <row r="34" ht="15" customHeight="1">
      <c r="A34" s="24" t="inlineStr">
        <is>
          <t>POS-OPS-PUR</t>
        </is>
      </c>
      <c r="B34" s="25" t="inlineStr">
        <is>
          <t>采购员</t>
        </is>
      </c>
      <c r="C34" s="24" t="inlineStr">
        <is>
          <t>ORG-OPS-PUR</t>
        </is>
      </c>
      <c r="D34" s="25" t="inlineStr">
        <is>
          <t>班组成员</t>
        </is>
      </c>
      <c r="E34" s="25" t="inlineStr">
        <is>
          <t>现行</t>
        </is>
      </c>
      <c r="F34" s="10" t="inlineStr">
        <is>
          <t>物料采购执行，供应商对接，交期跟进，采购单据处理</t>
        </is>
      </c>
      <c r="G34" s="10" t="inlineStr">
        <is>
          <t>物料需求接收；询比价；下达采购订单；跟进物料交期；供应商沟通；来料异常对接；采购台账登记</t>
        </is>
      </c>
      <c r="H34" s="10" t="inlineStr">
        <is>
          <t>《采购订单》、《询比价记录》、《采购交期跟进台账》</t>
        </is>
      </c>
      <c r="I34" s="10" t="inlineStr">
        <is>
          <t>采购执行下单权限，采购价格审批遵循RACI</t>
        </is>
      </c>
      <c r="J34" s="10" t="inlineStr">
        <is>
          <t>物料识别，询比价，供应商沟通，采购跟单补齐说明</t>
        </is>
      </c>
      <c r="K34" s="69" t="inlineStr">
        <is>
          <t>POS-QA-MGR</t>
        </is>
      </c>
      <c r="L34" s="70" t="n"/>
    </row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</sheetData>
  <autoFilter ref="A4:K83"/>
  <mergeCells count="4">
    <mergeCell ref="A1:G1"/>
    <mergeCell ref="A2:G2"/>
    <mergeCell ref="H1:N1"/>
    <mergeCell ref="H2:N2"/>
  </mergeCells>
  <dataValidations count="4">
    <dataValidation sqref="B34:B83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34:C83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34:D83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34:E83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 paperSize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86"/>
  <sheetViews>
    <sheetView showGridLines="0" tabSelected="1" zoomScale="90" zoomScaleNormal="90" workbookViewId="0">
      <pane xSplit="6" ySplit="4" topLeftCell="V5" activePane="bottomRight" state="frozen"/>
      <selection activeCell="A1" sqref="A1"/>
      <selection pane="topRight" activeCell="A1" sqref="A1"/>
      <selection pane="bottomLeft" activeCell="A1" sqref="A1"/>
      <selection pane="bottomRight" activeCell="W8" sqref="W8"/>
    </sheetView>
  </sheetViews>
  <sheetFormatPr baseColWidth="8" defaultColWidth="9" defaultRowHeight="14.25"/>
  <cols>
    <col width="9.025" customWidth="1" style="19" min="1" max="1"/>
    <col width="9.5" customWidth="1" style="20" min="2" max="2"/>
    <col width="20.125" customWidth="1" style="20" min="3" max="3"/>
    <col width="42.875" customWidth="1" style="20" min="4" max="4"/>
    <col width="25.375" customWidth="1" style="20" min="5" max="5"/>
    <col width="19.25" customWidth="1" style="20" min="6" max="6"/>
    <col width="5.5" customWidth="1" style="19" min="7" max="13"/>
    <col width="8.75" customWidth="1" style="19" min="14" max="14"/>
    <col width="7.125" customWidth="1" style="19" min="15" max="15"/>
    <col width="8.75" customWidth="1" style="19" min="16" max="16"/>
    <col width="7.125" customWidth="1" style="19" min="17" max="17"/>
    <col width="8.75" customWidth="1" style="19" min="18" max="18"/>
    <col width="12" customWidth="1" style="19" min="19" max="19"/>
    <col width="5.5" customWidth="1" style="19" min="20" max="22"/>
    <col width="5.125" customWidth="1" style="19" min="23" max="24"/>
    <col width="5" customWidth="1" style="19" min="25" max="25"/>
    <col width="8.05833333333333" customWidth="1" style="20" min="26" max="26"/>
    <col width="7.21666666666667" customWidth="1" style="20" min="27" max="27"/>
    <col width="8.375" customWidth="1" style="20" min="28" max="28"/>
    <col width="26.875" customWidth="1" style="21" min="29" max="29"/>
    <col width="9" customWidth="1" style="20" min="30" max="16384"/>
  </cols>
  <sheetData>
    <row r="1" ht="30" customHeight="1">
      <c r="A1" s="7" t="inlineStr">
        <is>
          <t>04RACI职责矩阵</t>
        </is>
      </c>
      <c r="H1" s="7" t="n"/>
      <c r="O1" s="7" t="n"/>
      <c r="V1" s="7" t="n"/>
      <c r="AD1" s="22" t="n"/>
      <c r="AE1" s="22" t="n"/>
    </row>
    <row r="2" ht="24" customHeight="1">
      <c r="A2" s="23" t="inlineStr">
        <is>
          <t>R=执行，A=最终负责/批准，C=事前咨询，I=结果知会，—=不参与。每行只能有一个A，至少一个R；角色名先在表头改成真实岗位/部门。</t>
        </is>
      </c>
      <c r="H2" s="23" t="n"/>
      <c r="O2" s="23" t="n"/>
      <c r="V2" s="23" t="n"/>
      <c r="AD2" s="22" t="n"/>
      <c r="AE2" s="22" t="n"/>
    </row>
    <row r="3" ht="8" customHeight="1">
      <c r="AD3" s="22" t="n"/>
      <c r="AE3" s="22" t="n"/>
    </row>
    <row r="4" ht="30" customHeight="1">
      <c r="A4" s="9" t="inlineStr">
        <is>
          <t>事项ID*</t>
        </is>
      </c>
      <c r="B4" s="9" t="inlineStr">
        <is>
          <t>管理域</t>
        </is>
      </c>
      <c r="C4" s="9" t="inlineStr">
        <is>
          <t>流程/场景</t>
        </is>
      </c>
      <c r="D4" s="9" t="inlineStr">
        <is>
          <t>具体事项*</t>
        </is>
      </c>
      <c r="E4" s="9" t="inlineStr">
        <is>
          <t>关键输出物</t>
        </is>
      </c>
      <c r="F4" s="9" t="inlineStr">
        <is>
          <t>触发条件/频次</t>
        </is>
      </c>
      <c r="G4" s="9" t="inlineStr">
        <is>
          <t>董事长</t>
        </is>
      </c>
      <c r="H4" s="9" t="inlineStr">
        <is>
          <t>总经理</t>
        </is>
      </c>
      <c r="I4" s="9" t="inlineStr">
        <is>
          <t>生产部</t>
        </is>
      </c>
      <c r="J4" s="9" t="inlineStr">
        <is>
          <t>品质部</t>
        </is>
      </c>
      <c r="K4" s="9" t="inlineStr">
        <is>
          <t>营运部</t>
        </is>
      </c>
      <c r="L4" s="9" t="inlineStr">
        <is>
          <t>行政部</t>
        </is>
      </c>
      <c r="M4" s="9" t="inlineStr">
        <is>
          <t>财务部</t>
        </is>
      </c>
      <c r="N4" s="9" t="inlineStr">
        <is>
          <t>工程技术组</t>
        </is>
      </c>
      <c r="O4" s="9" t="inlineStr">
        <is>
          <t>冲压车间</t>
        </is>
      </c>
      <c r="P4" s="9" t="inlineStr">
        <is>
          <t>模具维修组</t>
        </is>
      </c>
      <c r="Q4" s="9" t="inlineStr">
        <is>
          <t>清洗车间</t>
        </is>
      </c>
      <c r="R4" s="9" t="inlineStr">
        <is>
          <t>制程巡检组</t>
        </is>
      </c>
      <c r="S4" s="9" t="inlineStr">
        <is>
          <t>成品出货检验组</t>
        </is>
      </c>
      <c r="T4" s="9" t="inlineStr">
        <is>
          <t>业务组</t>
        </is>
      </c>
      <c r="U4" s="9" t="inlineStr">
        <is>
          <t>采购组</t>
        </is>
      </c>
      <c r="V4" s="9" t="inlineStr">
        <is>
          <t>仓储组</t>
        </is>
      </c>
      <c r="W4" s="9" t="inlineStr">
        <is>
          <t>后勤组</t>
        </is>
      </c>
      <c r="X4" s="9" t="inlineStr">
        <is>
          <t>A数量</t>
        </is>
      </c>
      <c r="Y4" s="9" t="inlineStr">
        <is>
          <t>R数量</t>
        </is>
      </c>
      <c r="Z4" s="9" t="inlineStr">
        <is>
          <t>检查结果</t>
        </is>
      </c>
      <c r="AA4" s="9" t="inlineStr">
        <is>
          <t>确认人</t>
        </is>
      </c>
      <c r="AB4" s="9" t="inlineStr">
        <is>
          <t>确认日期</t>
        </is>
      </c>
      <c r="AC4" s="9" t="inlineStr">
        <is>
          <t>备注</t>
        </is>
      </c>
      <c r="AD4" s="22" t="n"/>
      <c r="AE4" s="22" t="n"/>
    </row>
    <row r="5" ht="42" customHeight="1">
      <c r="A5" s="24" t="inlineStr">
        <is>
          <t>RACI-001</t>
        </is>
      </c>
      <c r="B5" s="25" t="inlineStr">
        <is>
          <t>经营管理</t>
        </is>
      </c>
      <c r="C5" s="25" t="inlineStr">
        <is>
          <t>公司组织架构</t>
        </is>
      </c>
      <c r="D5" s="25" t="inlineStr">
        <is>
          <t>确认部门、岗位和汇报关系</t>
        </is>
      </c>
      <c r="E5" s="25" t="inlineStr">
        <is>
          <t>1、《组织架构确认版》</t>
        </is>
      </c>
      <c r="F5" s="25" t="inlineStr">
        <is>
          <t>组织架构调整时</t>
        </is>
      </c>
      <c r="G5" s="24" t="inlineStr">
        <is>
          <t>A</t>
        </is>
      </c>
      <c r="H5" s="24" t="inlineStr">
        <is>
          <t>R</t>
        </is>
      </c>
      <c r="I5" s="24" t="inlineStr">
        <is>
          <t>I</t>
        </is>
      </c>
      <c r="J5" s="24" t="inlineStr">
        <is>
          <t>I</t>
        </is>
      </c>
      <c r="K5" s="24" t="inlineStr">
        <is>
          <t>I</t>
        </is>
      </c>
      <c r="L5" s="24" t="inlineStr">
        <is>
          <t>I</t>
        </is>
      </c>
      <c r="M5" s="24" t="inlineStr">
        <is>
          <t>I</t>
        </is>
      </c>
      <c r="N5" s="24" t="inlineStr">
        <is>
          <t>I</t>
        </is>
      </c>
      <c r="O5" s="24" t="inlineStr">
        <is>
          <t>I</t>
        </is>
      </c>
      <c r="P5" s="24" t="inlineStr">
        <is>
          <t>I</t>
        </is>
      </c>
      <c r="Q5" s="24" t="inlineStr">
        <is>
          <t>I</t>
        </is>
      </c>
      <c r="R5" s="24" t="inlineStr">
        <is>
          <t>I</t>
        </is>
      </c>
      <c r="S5" s="24" t="inlineStr">
        <is>
          <t>I</t>
        </is>
      </c>
      <c r="T5" s="24" t="inlineStr">
        <is>
          <t>I</t>
        </is>
      </c>
      <c r="U5" s="24" t="inlineStr">
        <is>
          <t>—</t>
        </is>
      </c>
      <c r="V5" s="24" t="inlineStr">
        <is>
          <t>—</t>
        </is>
      </c>
      <c r="W5" s="24" t="inlineStr">
        <is>
          <t>—</t>
        </is>
      </c>
      <c r="X5" s="26">
        <f>COUNTIF(G5:W5,"A")</f>
        <v/>
      </c>
      <c r="Y5" s="26">
        <f>COUNTIF(G5:W5,"R")</f>
        <v/>
      </c>
      <c r="Z5" s="27">
        <f>IF(A5="","",IF(X5&lt;&gt;1,"A数量必须=1",IF(Y5&lt;1,"至少需要1个R","OK")))</f>
        <v/>
      </c>
      <c r="AA5" s="25" t="inlineStr">
        <is>
          <t>王勇</t>
        </is>
      </c>
      <c r="AB5" s="92" t="inlineStr">
        <is>
          <t>2026.10.4</t>
        </is>
      </c>
      <c r="AC5" s="30" t="inlineStr">
        <is>
          <t>董事长最终负责，总经理牵头执行落地</t>
        </is>
      </c>
      <c r="AD5" s="30" t="n"/>
    </row>
    <row r="6" ht="42" customHeight="1">
      <c r="A6" s="31" t="inlineStr">
        <is>
          <t>RACI-002</t>
        </is>
      </c>
      <c r="B6" s="31" t="inlineStr">
        <is>
          <t>经营管理</t>
        </is>
      </c>
      <c r="C6" s="31" t="inlineStr">
        <is>
          <t>年度经营目标</t>
        </is>
      </c>
      <c r="D6" s="31" t="inlineStr">
        <is>
          <t>确认年度经营目标和重点事项</t>
        </is>
      </c>
      <c r="E6" s="31" t="inlineStr">
        <is>
          <t>1、《年度经营目标表》</t>
        </is>
      </c>
      <c r="F6" s="31" t="inlineStr">
        <is>
          <t>年度/重大调整</t>
        </is>
      </c>
      <c r="G6" s="32" t="inlineStr">
        <is>
          <t>I</t>
        </is>
      </c>
      <c r="H6" s="32" t="inlineStr">
        <is>
          <t>A</t>
        </is>
      </c>
      <c r="I6" s="32" t="inlineStr">
        <is>
          <t>R</t>
        </is>
      </c>
      <c r="J6" s="32" t="inlineStr">
        <is>
          <t>R</t>
        </is>
      </c>
      <c r="K6" s="32" t="inlineStr">
        <is>
          <t>R</t>
        </is>
      </c>
      <c r="L6" s="32" t="inlineStr">
        <is>
          <t>R</t>
        </is>
      </c>
      <c r="M6" s="32" t="inlineStr">
        <is>
          <t>R</t>
        </is>
      </c>
      <c r="N6" s="32" t="inlineStr">
        <is>
          <t>R</t>
        </is>
      </c>
      <c r="O6" s="32" t="inlineStr">
        <is>
          <t>R</t>
        </is>
      </c>
      <c r="P6" s="32" t="inlineStr">
        <is>
          <t>R</t>
        </is>
      </c>
      <c r="Q6" s="32" t="inlineStr">
        <is>
          <t>R</t>
        </is>
      </c>
      <c r="R6" s="32" t="inlineStr">
        <is>
          <t>R</t>
        </is>
      </c>
      <c r="S6" s="32" t="inlineStr">
        <is>
          <t>R</t>
        </is>
      </c>
      <c r="T6" s="32" t="inlineStr">
        <is>
          <t>R</t>
        </is>
      </c>
      <c r="U6" s="32" t="inlineStr">
        <is>
          <t>R</t>
        </is>
      </c>
      <c r="V6" s="32" t="inlineStr">
        <is>
          <t>R</t>
        </is>
      </c>
      <c r="W6" s="24" t="inlineStr">
        <is>
          <t>—</t>
        </is>
      </c>
      <c r="X6" s="26">
        <f>COUNTIF(G6:W6,"A")</f>
        <v/>
      </c>
      <c r="Y6" s="26">
        <f>COUNTIF(G6:W6,"R")</f>
        <v/>
      </c>
      <c r="Z6" s="33">
        <f>IF(A6="","",IF(X6&lt;&gt;1,"A数量必须=1",IF(Y6&lt;1,"至少需要1个R","OK")))</f>
        <v/>
      </c>
      <c r="AA6" s="34" t="inlineStr">
        <is>
          <t>王晓华</t>
        </is>
      </c>
      <c r="AB6" s="93" t="inlineStr">
        <is>
          <t>2026.10.4</t>
        </is>
      </c>
      <c r="AC6" s="37" t="inlineStr">
        <is>
          <t>总经理最终负责，各部门承接并分解经营目标</t>
        </is>
      </c>
      <c r="AD6" s="37" t="n"/>
      <c r="AE6" s="41" t="n"/>
    </row>
    <row r="7" ht="42" customHeight="1">
      <c r="A7" s="24" t="inlineStr">
        <is>
          <t>RACI-003</t>
        </is>
      </c>
      <c r="B7" s="25" t="inlineStr">
        <is>
          <t>经营管理</t>
        </is>
      </c>
      <c r="C7" s="25" t="inlineStr">
        <is>
          <t>重大生产异常处置</t>
        </is>
      </c>
      <c r="D7" s="25" t="inlineStr">
        <is>
          <t>生产停线、批量不良事件评估、处置决策</t>
        </is>
      </c>
      <c r="E7" s="25" t="inlineStr">
        <is>
          <t>1、《重大生产异常处置报告》</t>
        </is>
      </c>
      <c r="F7" s="25" t="inlineStr">
        <is>
          <t>发生重大生产停线/批量不良时</t>
        </is>
      </c>
      <c r="G7" s="32" t="inlineStr">
        <is>
          <t>—</t>
        </is>
      </c>
      <c r="H7" s="32" t="inlineStr">
        <is>
          <t>A</t>
        </is>
      </c>
      <c r="I7" s="32" t="inlineStr">
        <is>
          <t>R</t>
        </is>
      </c>
      <c r="J7" s="32" t="inlineStr">
        <is>
          <t>C</t>
        </is>
      </c>
      <c r="K7" s="32" t="inlineStr">
        <is>
          <t>C</t>
        </is>
      </c>
      <c r="L7" s="32" t="inlineStr">
        <is>
          <t>—</t>
        </is>
      </c>
      <c r="M7" s="32" t="inlineStr">
        <is>
          <t>—</t>
        </is>
      </c>
      <c r="N7" s="32" t="inlineStr">
        <is>
          <t>C</t>
        </is>
      </c>
      <c r="O7" s="32" t="inlineStr">
        <is>
          <t>R</t>
        </is>
      </c>
      <c r="P7" s="32" t="inlineStr">
        <is>
          <t>R</t>
        </is>
      </c>
      <c r="Q7" s="32" t="inlineStr">
        <is>
          <t>R</t>
        </is>
      </c>
      <c r="R7" s="32" t="inlineStr">
        <is>
          <t>R</t>
        </is>
      </c>
      <c r="S7" s="32" t="inlineStr">
        <is>
          <t>R</t>
        </is>
      </c>
      <c r="T7" s="32" t="inlineStr">
        <is>
          <t>C</t>
        </is>
      </c>
      <c r="U7" s="32" t="inlineStr">
        <is>
          <t>C</t>
        </is>
      </c>
      <c r="V7" s="32" t="inlineStr">
        <is>
          <t>C</t>
        </is>
      </c>
      <c r="W7" s="24" t="inlineStr">
        <is>
          <t>—</t>
        </is>
      </c>
      <c r="X7" s="26">
        <f>COUNTIF(G7:W7,"A")</f>
        <v/>
      </c>
      <c r="Y7" s="26">
        <f>COUNTIF(G7:W7,"R")</f>
        <v/>
      </c>
      <c r="Z7" s="33">
        <f>IF(A7="","",IF(X7&lt;&gt;1,"A数量必须=1",IF(Y7&lt;1,"至少需要1个R","OK")))</f>
        <v/>
      </c>
      <c r="AA7" s="34" t="inlineStr">
        <is>
          <t>王晓华</t>
        </is>
      </c>
      <c r="AB7" s="94" t="inlineStr">
        <is>
          <t>2026.10.4</t>
        </is>
      </c>
      <c r="AC7" s="40" t="inlineStr">
        <is>
          <t>总经理最终决策，冲压车间、清洗车间、品质、营运、工程技术协同处置重大生产异常</t>
        </is>
      </c>
      <c r="AD7" s="37" t="n"/>
      <c r="AE7" s="41" t="n"/>
    </row>
    <row r="8" ht="42" customHeight="1">
      <c r="A8" s="31" t="inlineStr">
        <is>
          <t>RACI-004</t>
        </is>
      </c>
      <c r="B8" s="31" t="inlineStr">
        <is>
          <t>客户/订单</t>
        </is>
      </c>
      <c r="C8" s="31" t="inlineStr">
        <is>
          <t>订单接收与评审</t>
        </is>
      </c>
      <c r="D8" s="31" t="inlineStr">
        <is>
          <t>确认客户订单、图纸、交期和生产可行性</t>
        </is>
      </c>
      <c r="E8" s="31" t="inlineStr">
        <is>
          <t>1、《订单评审记录》</t>
        </is>
      </c>
      <c r="F8" s="31" t="inlineStr">
        <is>
          <t>收到新订单时</t>
        </is>
      </c>
      <c r="G8" s="32" t="inlineStr">
        <is>
          <t>—</t>
        </is>
      </c>
      <c r="H8" s="32" t="inlineStr">
        <is>
          <t>I</t>
        </is>
      </c>
      <c r="I8" s="32" t="inlineStr">
        <is>
          <t>R</t>
        </is>
      </c>
      <c r="J8" s="32" t="inlineStr">
        <is>
          <t>R</t>
        </is>
      </c>
      <c r="K8" s="32" t="inlineStr">
        <is>
          <t>A</t>
        </is>
      </c>
      <c r="L8" s="32" t="inlineStr">
        <is>
          <t>—</t>
        </is>
      </c>
      <c r="M8" s="32" t="inlineStr">
        <is>
          <t>I</t>
        </is>
      </c>
      <c r="N8" s="32" t="inlineStr">
        <is>
          <t>R</t>
        </is>
      </c>
      <c r="O8" s="32" t="inlineStr">
        <is>
          <t>C</t>
        </is>
      </c>
      <c r="P8" s="32" t="inlineStr">
        <is>
          <t>C</t>
        </is>
      </c>
      <c r="Q8" s="32" t="inlineStr">
        <is>
          <t>C</t>
        </is>
      </c>
      <c r="R8" s="32" t="inlineStr">
        <is>
          <t>C</t>
        </is>
      </c>
      <c r="S8" s="32" t="inlineStr">
        <is>
          <t>C</t>
        </is>
      </c>
      <c r="T8" s="32" t="inlineStr">
        <is>
          <t>R</t>
        </is>
      </c>
      <c r="U8" s="32" t="inlineStr">
        <is>
          <t>R</t>
        </is>
      </c>
      <c r="V8" s="32" t="inlineStr">
        <is>
          <t>R</t>
        </is>
      </c>
      <c r="W8" s="24" t="inlineStr">
        <is>
          <t>—</t>
        </is>
      </c>
      <c r="X8" s="26">
        <f>COUNTIF(G8:W8,"A")</f>
        <v/>
      </c>
      <c r="Y8" s="26">
        <f>COUNTIF(G8:W8,"R")</f>
        <v/>
      </c>
      <c r="Z8" s="33">
        <f>IF(A8="","",IF(X8&lt;&gt;1,"A数量必须=1",IF(Y8&lt;1,"至少需要1个R","OK")))</f>
        <v/>
      </c>
      <c r="AA8" s="34" t="inlineStr">
        <is>
          <t>王秋红</t>
        </is>
      </c>
      <c r="AB8" s="94" t="inlineStr">
        <is>
          <t>2026.10.4</t>
        </is>
      </c>
      <c r="AC8" s="40" t="inlineStr">
        <is>
          <t>营运部最终负责；生产、品质、工程技术、业务组、采购组、仓储组参与执行与咨询</t>
        </is>
      </c>
      <c r="AD8" s="37" t="n"/>
      <c r="AE8" s="41" t="n"/>
    </row>
    <row r="9" ht="42" customHeight="1">
      <c r="A9" s="24" t="inlineStr">
        <is>
          <t>RACI-005</t>
        </is>
      </c>
      <c r="B9" s="25" t="inlineStr">
        <is>
          <t>采购/供应商</t>
        </is>
      </c>
      <c r="C9" s="25" t="inlineStr">
        <is>
          <t>物料采购寻源下单</t>
        </is>
      </c>
      <c r="D9" s="25" t="inlineStr">
        <is>
          <t>物料询比价、供应商确认、下达采购订单</t>
        </is>
      </c>
      <c r="E9" s="25" t="inlineStr">
        <is>
          <t>1、《采购订单》；2、《询比价记录》</t>
        </is>
      </c>
      <c r="F9" s="25" t="inlineStr">
        <is>
          <t>物料需求时</t>
        </is>
      </c>
      <c r="G9" s="32" t="inlineStr">
        <is>
          <t>—</t>
        </is>
      </c>
      <c r="H9" s="32" t="inlineStr">
        <is>
          <t>I</t>
        </is>
      </c>
      <c r="I9" s="32" t="inlineStr">
        <is>
          <t>C</t>
        </is>
      </c>
      <c r="J9" s="32" t="inlineStr">
        <is>
          <t>C</t>
        </is>
      </c>
      <c r="K9" s="32" t="inlineStr">
        <is>
          <t>A</t>
        </is>
      </c>
      <c r="L9" s="32" t="inlineStr">
        <is>
          <t>—</t>
        </is>
      </c>
      <c r="M9" s="32" t="inlineStr">
        <is>
          <t>C</t>
        </is>
      </c>
      <c r="N9" s="32" t="inlineStr">
        <is>
          <t>—</t>
        </is>
      </c>
      <c r="O9" s="32" t="inlineStr">
        <is>
          <t>—</t>
        </is>
      </c>
      <c r="P9" s="32" t="inlineStr">
        <is>
          <t>—</t>
        </is>
      </c>
      <c r="Q9" s="32" t="inlineStr">
        <is>
          <t>—</t>
        </is>
      </c>
      <c r="R9" s="32" t="inlineStr">
        <is>
          <t>—</t>
        </is>
      </c>
      <c r="S9" s="32" t="inlineStr">
        <is>
          <t>—</t>
        </is>
      </c>
      <c r="T9" s="32" t="inlineStr">
        <is>
          <t>R</t>
        </is>
      </c>
      <c r="U9" s="32" t="inlineStr">
        <is>
          <t>R</t>
        </is>
      </c>
      <c r="V9" s="32" t="inlineStr">
        <is>
          <t>R</t>
        </is>
      </c>
      <c r="W9" s="24" t="inlineStr">
        <is>
          <t>—</t>
        </is>
      </c>
      <c r="X9" s="26">
        <f>COUNTIF(G9:W9,"A")</f>
        <v/>
      </c>
      <c r="Y9" s="26">
        <f>COUNTIF(G9:W9,"R")</f>
        <v/>
      </c>
      <c r="Z9" s="33">
        <f>IF(A9="","",IF(X9&lt;&gt;1,"A数量必须=1",IF(Y9&lt;1,"至少需要1个R","OK")))</f>
        <v/>
      </c>
      <c r="AA9" s="34" t="inlineStr">
        <is>
          <t>王晓华</t>
        </is>
      </c>
      <c r="AB9" s="94" t="inlineStr">
        <is>
          <t>2026.10.4</t>
        </is>
      </c>
      <c r="AC9" s="40" t="inlineStr">
        <is>
          <t>营运部最终负责，采购组岗位执行询比价及下单作业</t>
        </is>
      </c>
      <c r="AD9" s="37" t="n"/>
      <c r="AE9" s="41" t="n"/>
    </row>
    <row r="10" ht="42" customHeight="1">
      <c r="A10" s="31" t="inlineStr">
        <is>
          <t>RACI-006</t>
        </is>
      </c>
      <c r="B10" s="31" t="inlineStr">
        <is>
          <t>交付</t>
        </is>
      </c>
      <c r="C10" s="31" t="inlineStr">
        <is>
          <t>成品包装与出货核对放行</t>
        </is>
      </c>
      <c r="D10" s="31" t="inlineStr">
        <is>
          <t>成品包装贴标、出货核对、出货检验</t>
        </is>
      </c>
      <c r="E10" s="31" t="inlineStr">
        <is>
          <t>1、《出货通知单》；2、《检验记录》</t>
        </is>
      </c>
      <c r="F10" s="31" t="inlineStr">
        <is>
          <t>出货时</t>
        </is>
      </c>
      <c r="G10" s="32" t="inlineStr">
        <is>
          <t>—</t>
        </is>
      </c>
      <c r="H10" s="32" t="inlineStr">
        <is>
          <t>I</t>
        </is>
      </c>
      <c r="I10" s="32" t="inlineStr">
        <is>
          <t>C</t>
        </is>
      </c>
      <c r="J10" s="32" t="inlineStr">
        <is>
          <t>A</t>
        </is>
      </c>
      <c r="K10" s="32" t="inlineStr">
        <is>
          <t>R</t>
        </is>
      </c>
      <c r="L10" s="32" t="inlineStr">
        <is>
          <t>—</t>
        </is>
      </c>
      <c r="M10" s="32" t="inlineStr">
        <is>
          <t>I</t>
        </is>
      </c>
      <c r="N10" s="32" t="inlineStr">
        <is>
          <t>—</t>
        </is>
      </c>
      <c r="O10" s="32" t="inlineStr">
        <is>
          <t>—</t>
        </is>
      </c>
      <c r="P10" s="32" t="inlineStr">
        <is>
          <t>—</t>
        </is>
      </c>
      <c r="Q10" s="32" t="inlineStr">
        <is>
          <t>—</t>
        </is>
      </c>
      <c r="R10" s="32" t="inlineStr">
        <is>
          <t>R</t>
        </is>
      </c>
      <c r="S10" s="32" t="inlineStr">
        <is>
          <t>R</t>
        </is>
      </c>
      <c r="T10" s="32" t="inlineStr">
        <is>
          <t>R</t>
        </is>
      </c>
      <c r="U10" s="32" t="inlineStr">
        <is>
          <t>R</t>
        </is>
      </c>
      <c r="V10" s="32" t="inlineStr">
        <is>
          <t>R</t>
        </is>
      </c>
      <c r="W10" s="24" t="inlineStr">
        <is>
          <t>—</t>
        </is>
      </c>
      <c r="X10" s="26">
        <f>COUNTIF(G10:W10,"A")</f>
        <v/>
      </c>
      <c r="Y10" s="26">
        <f>COUNTIF(G10:W10,"R")</f>
        <v/>
      </c>
      <c r="Z10" s="33">
        <f>IF(A10="","",IF(X10&lt;&gt;1,"A数量必须=1",IF(Y10&lt;1,"至少需要1个R","OK")))</f>
        <v/>
      </c>
      <c r="AA10" s="34" t="inlineStr">
        <is>
          <t>王秋红</t>
        </is>
      </c>
      <c r="AB10" s="94" t="inlineStr">
        <is>
          <t>2026.10.4</t>
        </is>
      </c>
      <c r="AC10" s="40" t="inlineStr">
        <is>
          <t>品质部最终负责；仓储包装、成品出货检验组完成，营运部业务组协同完成出货放行</t>
        </is>
      </c>
      <c r="AD10" s="37" t="n"/>
      <c r="AE10" s="41" t="n"/>
    </row>
    <row r="11" ht="42" customHeight="1">
      <c r="A11" s="24" t="inlineStr">
        <is>
          <t>RACI-007</t>
        </is>
      </c>
      <c r="B11" s="25" t="inlineStr">
        <is>
          <t>生产</t>
        </is>
      </c>
      <c r="C11" s="25" t="inlineStr">
        <is>
          <t>生产任务落实、分配</t>
        </is>
      </c>
      <c r="D11" s="25" t="inlineStr">
        <is>
          <t>确认生产产品、材料、模具、设备和交期</t>
        </is>
      </c>
      <c r="E11" s="25" t="inlineStr">
        <is>
          <t>1、《生产任务确认单》</t>
        </is>
      </c>
      <c r="F11" s="25" t="inlineStr">
        <is>
          <t>开工前</t>
        </is>
      </c>
      <c r="G11" s="32" t="inlineStr">
        <is>
          <t>—</t>
        </is>
      </c>
      <c r="H11" s="32" t="inlineStr">
        <is>
          <t>—</t>
        </is>
      </c>
      <c r="I11" s="32" t="inlineStr">
        <is>
          <t>A</t>
        </is>
      </c>
      <c r="J11" s="32" t="inlineStr">
        <is>
          <t>—</t>
        </is>
      </c>
      <c r="K11" s="32" t="inlineStr">
        <is>
          <t>—</t>
        </is>
      </c>
      <c r="L11" s="32" t="inlineStr">
        <is>
          <t>—</t>
        </is>
      </c>
      <c r="M11" s="32" t="inlineStr">
        <is>
          <t>—</t>
        </is>
      </c>
      <c r="N11" s="32" t="inlineStr">
        <is>
          <t>C</t>
        </is>
      </c>
      <c r="O11" s="32" t="inlineStr">
        <is>
          <t>R</t>
        </is>
      </c>
      <c r="P11" s="32" t="inlineStr">
        <is>
          <t>R</t>
        </is>
      </c>
      <c r="Q11" s="32" t="inlineStr">
        <is>
          <t>R</t>
        </is>
      </c>
      <c r="R11" s="32" t="inlineStr">
        <is>
          <t>R</t>
        </is>
      </c>
      <c r="S11" s="32" t="inlineStr">
        <is>
          <t>R</t>
        </is>
      </c>
      <c r="T11" s="32" t="inlineStr">
        <is>
          <t>C</t>
        </is>
      </c>
      <c r="U11" s="32" t="inlineStr">
        <is>
          <t>C</t>
        </is>
      </c>
      <c r="V11" s="32" t="inlineStr">
        <is>
          <t>C</t>
        </is>
      </c>
      <c r="W11" s="24" t="inlineStr">
        <is>
          <t>—</t>
        </is>
      </c>
      <c r="X11" s="26">
        <f>COUNTIF(G11:W11,"A")</f>
        <v/>
      </c>
      <c r="Y11" s="26">
        <f>COUNTIF(G11:W11,"R")</f>
        <v/>
      </c>
      <c r="Z11" s="33">
        <f>IF(A11="","",IF(X11&lt;&gt;1,"A数量必须=1",IF(Y11&lt;1,"至少需要1个R","OK")))</f>
        <v/>
      </c>
      <c r="AA11" s="34" t="inlineStr">
        <is>
          <t>王小平</t>
        </is>
      </c>
      <c r="AB11" s="94" t="inlineStr">
        <is>
          <t>2026.10.4</t>
        </is>
      </c>
      <c r="AC11" s="40" t="inlineStr">
        <is>
          <t>生产部最终负责，冲压车间、模具维修组、清洗车间执行相关工作</t>
        </is>
      </c>
      <c r="AD11" s="37" t="n"/>
      <c r="AE11" s="41" t="n"/>
    </row>
    <row r="12" ht="42" customFormat="1" customHeight="1" s="20">
      <c r="A12" s="31" t="inlineStr">
        <is>
          <t>RACI-008</t>
        </is>
      </c>
      <c r="B12" s="31" t="inlineStr">
        <is>
          <t>生产</t>
        </is>
      </c>
      <c r="C12" s="31" t="inlineStr">
        <is>
          <t>生产计划排产和产量统计</t>
        </is>
      </c>
      <c r="D12" s="31" t="inlineStr">
        <is>
          <t>编制、调整生产排产计划，统计产量</t>
        </is>
      </c>
      <c r="E12" s="31" t="inlineStr">
        <is>
          <t>1、《生产排产计划表》；2、《日产量》；3、《月产量》</t>
        </is>
      </c>
      <c r="F12" s="31" t="inlineStr">
        <is>
          <t>订单评审完成和生产异常发生时</t>
        </is>
      </c>
      <c r="G12" s="32" t="inlineStr">
        <is>
          <t>—</t>
        </is>
      </c>
      <c r="H12" s="32" t="inlineStr">
        <is>
          <t>C</t>
        </is>
      </c>
      <c r="I12" s="32" t="inlineStr">
        <is>
          <t>A</t>
        </is>
      </c>
      <c r="J12" s="32" t="inlineStr">
        <is>
          <t>I</t>
        </is>
      </c>
      <c r="K12" s="32" t="inlineStr">
        <is>
          <t>C</t>
        </is>
      </c>
      <c r="L12" s="32" t="inlineStr">
        <is>
          <t>—</t>
        </is>
      </c>
      <c r="M12" s="32" t="inlineStr">
        <is>
          <t>—</t>
        </is>
      </c>
      <c r="N12" s="32" t="inlineStr">
        <is>
          <t>C</t>
        </is>
      </c>
      <c r="O12" s="32" t="inlineStr">
        <is>
          <t>R</t>
        </is>
      </c>
      <c r="P12" s="32" t="inlineStr">
        <is>
          <t>R</t>
        </is>
      </c>
      <c r="Q12" s="32" t="inlineStr">
        <is>
          <t>R</t>
        </is>
      </c>
      <c r="R12" s="32" t="inlineStr">
        <is>
          <t>I</t>
        </is>
      </c>
      <c r="S12" s="32" t="inlineStr">
        <is>
          <t>I</t>
        </is>
      </c>
      <c r="T12" s="32" t="inlineStr">
        <is>
          <t>C</t>
        </is>
      </c>
      <c r="U12" s="32" t="inlineStr">
        <is>
          <t>C</t>
        </is>
      </c>
      <c r="V12" s="32" t="inlineStr">
        <is>
          <t>C</t>
        </is>
      </c>
      <c r="W12" s="24" t="inlineStr">
        <is>
          <t>—</t>
        </is>
      </c>
      <c r="X12" s="26">
        <f>COUNTIF(G12:W12,"A")</f>
        <v/>
      </c>
      <c r="Y12" s="26">
        <f>COUNTIF(G12:W12,"R")</f>
        <v/>
      </c>
      <c r="Z12" s="33">
        <f>IF(A12="","",IF(X12&lt;&gt;1,"A数量必须=1",IF(Y12&lt;1,"至少需要1个R","OK")))</f>
        <v/>
      </c>
      <c r="AA12" s="34" t="inlineStr">
        <is>
          <t>李天友</t>
        </is>
      </c>
      <c r="AB12" s="94" t="inlineStr">
        <is>
          <t>2026.10.4</t>
        </is>
      </c>
      <c r="AC12" s="40" t="inlineStr">
        <is>
          <t>生产部最终负责，生产计划员、车间执行，运营、采购、仓储提供订单原材料信息。</t>
        </is>
      </c>
      <c r="AD12" s="37" t="n"/>
      <c r="AE12" s="41" t="n"/>
    </row>
    <row r="13" ht="42" customHeight="1">
      <c r="A13" s="24" t="inlineStr">
        <is>
          <t>RACI-009</t>
        </is>
      </c>
      <c r="B13" s="25" t="inlineStr">
        <is>
          <t>生产</t>
        </is>
      </c>
      <c r="C13" s="25" t="inlineStr">
        <is>
          <t>车间生产、安全与5S管理</t>
        </is>
      </c>
      <c r="D13" s="25" t="inlineStr">
        <is>
          <t>车间安排协调、安全巡检、5S推行、隐患整改闭环</t>
        </is>
      </c>
      <c r="E13" s="25" t="inlineStr">
        <is>
          <t>1、《安全巡检表》；2、《5S检查记录》</t>
        </is>
      </c>
      <c r="F13" s="25" t="inlineStr">
        <is>
          <t>每日现场巡检时</t>
        </is>
      </c>
      <c r="G13" s="32" t="inlineStr">
        <is>
          <t>—</t>
        </is>
      </c>
      <c r="H13" s="32" t="inlineStr">
        <is>
          <t>I</t>
        </is>
      </c>
      <c r="I13" s="32" t="inlineStr">
        <is>
          <t>A</t>
        </is>
      </c>
      <c r="J13" s="32" t="inlineStr">
        <is>
          <t>C</t>
        </is>
      </c>
      <c r="K13" s="32" t="inlineStr">
        <is>
          <t>—</t>
        </is>
      </c>
      <c r="L13" s="32" t="inlineStr">
        <is>
          <t>C</t>
        </is>
      </c>
      <c r="M13" s="32" t="inlineStr">
        <is>
          <t>—</t>
        </is>
      </c>
      <c r="N13" s="32" t="inlineStr">
        <is>
          <t>—</t>
        </is>
      </c>
      <c r="O13" s="32" t="inlineStr">
        <is>
          <t>R</t>
        </is>
      </c>
      <c r="P13" s="32" t="inlineStr">
        <is>
          <t>R</t>
        </is>
      </c>
      <c r="Q13" s="32" t="inlineStr">
        <is>
          <t>R</t>
        </is>
      </c>
      <c r="R13" s="32" t="inlineStr">
        <is>
          <t>I</t>
        </is>
      </c>
      <c r="S13" s="32" t="inlineStr">
        <is>
          <t>I</t>
        </is>
      </c>
      <c r="T13" s="32" t="inlineStr">
        <is>
          <t>—</t>
        </is>
      </c>
      <c r="U13" s="32" t="inlineStr">
        <is>
          <t>—</t>
        </is>
      </c>
      <c r="V13" s="32" t="inlineStr">
        <is>
          <t>—</t>
        </is>
      </c>
      <c r="W13" s="24" t="inlineStr">
        <is>
          <t>—</t>
        </is>
      </c>
      <c r="X13" s="26">
        <f>COUNTIF(G13:W13,"A")</f>
        <v/>
      </c>
      <c r="Y13" s="26">
        <f>COUNTIF(G13:W13,"R")</f>
        <v/>
      </c>
      <c r="Z13" s="33">
        <f>IF(A13="","",IF(X13&lt;&gt;1,"A数量必须=1",IF(Y13&lt;1,"至少需要1个R","OK")))</f>
        <v/>
      </c>
      <c r="AA13" s="34" t="inlineStr">
        <is>
          <t>王小平</t>
        </is>
      </c>
      <c r="AB13" s="94" t="inlineStr">
        <is>
          <t>2026.10.4</t>
        </is>
      </c>
      <c r="AC13" s="40" t="inlineStr">
        <is>
          <t>生产部最终负责，冲压车间、清洗车间、模具维修组执行现场巡检与隐患整改</t>
        </is>
      </c>
      <c r="AD13" s="37" t="n"/>
      <c r="AE13" s="41" t="n"/>
    </row>
    <row r="14" ht="42" customHeight="1">
      <c r="A14" s="31" t="inlineStr">
        <is>
          <t>RACI-010</t>
        </is>
      </c>
      <c r="B14" s="31" t="inlineStr">
        <is>
          <t>生产</t>
        </is>
      </c>
      <c r="C14" s="31" t="inlineStr">
        <is>
          <t>清洗车间生产管控</t>
        </is>
      </c>
      <c r="D14" s="31" t="inlineStr">
        <is>
          <t>清洗任务分派、过程管控、产品自检</t>
        </is>
      </c>
      <c r="E14" s="31" t="inlineStr">
        <is>
          <t>1、《清洗作业记录》；2、《设备点检表》</t>
        </is>
      </c>
      <c r="F14" s="31" t="inlineStr">
        <is>
          <t>下达清洗生产任务时</t>
        </is>
      </c>
      <c r="G14" s="32" t="inlineStr">
        <is>
          <t>—</t>
        </is>
      </c>
      <c r="H14" s="32" t="inlineStr">
        <is>
          <t>—</t>
        </is>
      </c>
      <c r="I14" s="32" t="inlineStr">
        <is>
          <t>A</t>
        </is>
      </c>
      <c r="J14" s="32" t="inlineStr">
        <is>
          <t>I</t>
        </is>
      </c>
      <c r="K14" s="32" t="inlineStr">
        <is>
          <t>—</t>
        </is>
      </c>
      <c r="L14" s="32" t="inlineStr">
        <is>
          <t>—</t>
        </is>
      </c>
      <c r="M14" s="32" t="inlineStr">
        <is>
          <t>—</t>
        </is>
      </c>
      <c r="N14" s="32" t="inlineStr">
        <is>
          <t>—</t>
        </is>
      </c>
      <c r="O14" s="32" t="inlineStr">
        <is>
          <t>—</t>
        </is>
      </c>
      <c r="P14" s="32" t="inlineStr">
        <is>
          <t>—</t>
        </is>
      </c>
      <c r="Q14" s="32" t="inlineStr">
        <is>
          <t>R</t>
        </is>
      </c>
      <c r="R14" s="32" t="inlineStr">
        <is>
          <t>I</t>
        </is>
      </c>
      <c r="S14" s="32" t="inlineStr">
        <is>
          <t>I</t>
        </is>
      </c>
      <c r="T14" s="32" t="inlineStr">
        <is>
          <t>—</t>
        </is>
      </c>
      <c r="U14" s="32" t="inlineStr">
        <is>
          <t>—</t>
        </is>
      </c>
      <c r="V14" s="32" t="inlineStr">
        <is>
          <t>—</t>
        </is>
      </c>
      <c r="W14" s="24" t="inlineStr">
        <is>
          <t>—</t>
        </is>
      </c>
      <c r="X14" s="26">
        <f>COUNTIF(G14:W14,"A")</f>
        <v/>
      </c>
      <c r="Y14" s="26">
        <f>COUNTIF(G14:W14,"R")</f>
        <v/>
      </c>
      <c r="Z14" s="33">
        <f>IF(A14="","",IF(X14&lt;&gt;1,"A数量必须=1",IF(Y14&lt;1,"至少需要1个R","OK")))</f>
        <v/>
      </c>
      <c r="AA14" s="34" t="inlineStr">
        <is>
          <t>马金军</t>
        </is>
      </c>
      <c r="AB14" s="94" t="inlineStr">
        <is>
          <t>2026.10.4</t>
        </is>
      </c>
      <c r="AC14" s="40" t="inlineStr">
        <is>
          <t>生产部最终负责，清洗车间执行清洗生产管控作业</t>
        </is>
      </c>
      <c r="AD14" s="37" t="n"/>
      <c r="AE14" s="41" t="n"/>
    </row>
    <row r="15" ht="42" customHeight="1">
      <c r="A15" s="24" t="inlineStr">
        <is>
          <t>RACI-011</t>
        </is>
      </c>
      <c r="B15" s="25" t="inlineStr">
        <is>
          <t>质量</t>
        </is>
      </c>
      <c r="C15" s="25" t="inlineStr">
        <is>
          <t>来料检验IQ</t>
        </is>
      </c>
      <c r="D15" s="25" t="inlineStr">
        <is>
          <t>供应商来料检验，判定来料合格/不合格</t>
        </is>
      </c>
      <c r="E15" s="25" t="inlineStr">
        <is>
          <t>1、《来料检验报告》；2、《来料异常单》</t>
        </is>
      </c>
      <c r="F15" s="25" t="inlineStr">
        <is>
          <t>物料到货时</t>
        </is>
      </c>
      <c r="G15" s="32" t="inlineStr">
        <is>
          <t>—</t>
        </is>
      </c>
      <c r="H15" s="32" t="inlineStr">
        <is>
          <t>—</t>
        </is>
      </c>
      <c r="I15" s="32" t="inlineStr">
        <is>
          <t>I</t>
        </is>
      </c>
      <c r="J15" s="32" t="inlineStr">
        <is>
          <t>A</t>
        </is>
      </c>
      <c r="K15" s="32" t="inlineStr">
        <is>
          <t>C</t>
        </is>
      </c>
      <c r="L15" s="32" t="inlineStr">
        <is>
          <t>—</t>
        </is>
      </c>
      <c r="M15" s="32" t="inlineStr">
        <is>
          <t>—</t>
        </is>
      </c>
      <c r="N15" s="32" t="inlineStr">
        <is>
          <t>—</t>
        </is>
      </c>
      <c r="O15" s="32" t="inlineStr">
        <is>
          <t>—</t>
        </is>
      </c>
      <c r="P15" s="32" t="inlineStr">
        <is>
          <t>—</t>
        </is>
      </c>
      <c r="Q15" s="32" t="inlineStr">
        <is>
          <t>—</t>
        </is>
      </c>
      <c r="R15" s="32" t="inlineStr">
        <is>
          <t>—</t>
        </is>
      </c>
      <c r="S15" s="32" t="inlineStr">
        <is>
          <t>R</t>
        </is>
      </c>
      <c r="T15" s="32" t="inlineStr">
        <is>
          <t>C</t>
        </is>
      </c>
      <c r="U15" s="32" t="inlineStr">
        <is>
          <t>C</t>
        </is>
      </c>
      <c r="V15" s="32" t="inlineStr">
        <is>
          <t>C</t>
        </is>
      </c>
      <c r="W15" s="24" t="inlineStr">
        <is>
          <t>—</t>
        </is>
      </c>
      <c r="X15" s="26">
        <f>COUNTIF(G15:W15,"A")</f>
        <v/>
      </c>
      <c r="Y15" s="26">
        <f>COUNTIF(G15:W15,"R")</f>
        <v/>
      </c>
      <c r="Z15" s="33">
        <f>IF(A15="","",IF(X15&lt;&gt;1,"A数量必须=1",IF(Y15&lt;1,"至少需要1个R","OK")))</f>
        <v/>
      </c>
      <c r="AA15" s="34" t="inlineStr">
        <is>
          <t>李天友</t>
        </is>
      </c>
      <c r="AB15" s="94" t="inlineStr">
        <is>
          <t>2026.10.4</t>
        </is>
      </c>
      <c r="AC15" s="40" t="inlineStr">
        <is>
          <t>品质部最终负责，成品出货检验组执行来料检验作业</t>
        </is>
      </c>
      <c r="AD15" s="37" t="n"/>
      <c r="AE15" s="41" t="n"/>
    </row>
    <row r="16" ht="42" customHeight="1">
      <c r="A16" s="31" t="inlineStr">
        <is>
          <t>RACI-012</t>
        </is>
      </c>
      <c r="B16" s="31" t="inlineStr">
        <is>
          <t>质量</t>
        </is>
      </c>
      <c r="C16" s="31" t="inlineStr">
        <is>
          <t>首件、制程检验；异常放行</t>
        </is>
      </c>
      <c r="D16" s="31" t="inlineStr">
        <is>
          <t>确认首件、异常隔离和恢复生产权限</t>
        </is>
      </c>
      <c r="E16" s="31" t="inlineStr">
        <is>
          <t>1、《首件/巡检异常记录》</t>
        </is>
      </c>
      <c r="F16" s="31" t="inlineStr">
        <is>
          <t>首件或异常发生时</t>
        </is>
      </c>
      <c r="G16" s="32" t="inlineStr">
        <is>
          <t>—</t>
        </is>
      </c>
      <c r="H16" s="32" t="inlineStr">
        <is>
          <t>—</t>
        </is>
      </c>
      <c r="I16" s="32" t="inlineStr">
        <is>
          <t>—</t>
        </is>
      </c>
      <c r="J16" s="32" t="inlineStr">
        <is>
          <t>A</t>
        </is>
      </c>
      <c r="K16" s="32" t="inlineStr">
        <is>
          <t>—</t>
        </is>
      </c>
      <c r="L16" s="32" t="inlineStr">
        <is>
          <t>—</t>
        </is>
      </c>
      <c r="M16" s="32" t="inlineStr">
        <is>
          <t>—</t>
        </is>
      </c>
      <c r="N16" s="32" t="inlineStr">
        <is>
          <t>C</t>
        </is>
      </c>
      <c r="O16" s="32" t="inlineStr">
        <is>
          <t>R</t>
        </is>
      </c>
      <c r="P16" s="32" t="inlineStr">
        <is>
          <t>R</t>
        </is>
      </c>
      <c r="Q16" s="32" t="inlineStr">
        <is>
          <t>R</t>
        </is>
      </c>
      <c r="R16" s="32" t="inlineStr">
        <is>
          <t>R</t>
        </is>
      </c>
      <c r="S16" s="32" t="inlineStr">
        <is>
          <t>—</t>
        </is>
      </c>
      <c r="T16" s="32" t="inlineStr">
        <is>
          <t>I</t>
        </is>
      </c>
      <c r="U16" s="32" t="inlineStr">
        <is>
          <t>I</t>
        </is>
      </c>
      <c r="V16" s="32" t="inlineStr">
        <is>
          <t>I</t>
        </is>
      </c>
      <c r="W16" s="24" t="inlineStr">
        <is>
          <t>—</t>
        </is>
      </c>
      <c r="X16" s="26">
        <f>COUNTIF(G16:W16,"A")</f>
        <v/>
      </c>
      <c r="Y16" s="26">
        <f>COUNTIF(G16:W16,"R")</f>
        <v/>
      </c>
      <c r="Z16" s="33">
        <f>IF(A16="","",IF(X16&lt;&gt;1,"A数量必须=1",IF(Y16&lt;1,"至少需要1个R","OK")))</f>
        <v/>
      </c>
      <c r="AA16" s="34" t="inlineStr">
        <is>
          <t>李天友</t>
        </is>
      </c>
      <c r="AB16" s="94" t="inlineStr">
        <is>
          <t>2026.10.4</t>
        </is>
      </c>
      <c r="AC16" s="40" t="inlineStr">
        <is>
          <t>品质部最终负责，冲压车间、制程巡检组执行现场处置</t>
        </is>
      </c>
      <c r="AD16" s="37" t="n"/>
      <c r="AE16" s="41" t="n"/>
    </row>
    <row r="17" ht="42" customHeight="1">
      <c r="A17" s="24" t="inlineStr">
        <is>
          <t>RACI-013</t>
        </is>
      </c>
      <c r="B17" s="25" t="inlineStr">
        <is>
          <t>改善/审核</t>
        </is>
      </c>
      <c r="C17" s="25" t="inlineStr">
        <is>
          <t>客户投诉闭环处理</t>
        </is>
      </c>
      <c r="D17" s="25" t="inlineStr">
        <is>
          <t>客户质量投诉接收、调查、制定改善措施并闭环</t>
        </is>
      </c>
      <c r="E17" s="25" t="inlineStr">
        <is>
          <t>1、《客诉处理报告》；2、《改善记录》</t>
        </is>
      </c>
      <c r="F17" s="25" t="inlineStr">
        <is>
          <t>客户反馈质量问题时</t>
        </is>
      </c>
      <c r="G17" s="32" t="inlineStr">
        <is>
          <t>—</t>
        </is>
      </c>
      <c r="H17" s="32" t="inlineStr">
        <is>
          <t>I</t>
        </is>
      </c>
      <c r="I17" s="32" t="inlineStr">
        <is>
          <t>C</t>
        </is>
      </c>
      <c r="J17" s="32" t="inlineStr">
        <is>
          <t>A</t>
        </is>
      </c>
      <c r="K17" s="32" t="inlineStr">
        <is>
          <t>R</t>
        </is>
      </c>
      <c r="L17" s="32" t="inlineStr">
        <is>
          <t>—</t>
        </is>
      </c>
      <c r="M17" s="32" t="inlineStr">
        <is>
          <t>—</t>
        </is>
      </c>
      <c r="N17" s="32" t="inlineStr">
        <is>
          <t>C</t>
        </is>
      </c>
      <c r="O17" s="32" t="inlineStr">
        <is>
          <t>C</t>
        </is>
      </c>
      <c r="P17" s="32" t="inlineStr">
        <is>
          <t>C</t>
        </is>
      </c>
      <c r="Q17" s="32" t="inlineStr">
        <is>
          <t>C</t>
        </is>
      </c>
      <c r="R17" s="32" t="inlineStr">
        <is>
          <t>R</t>
        </is>
      </c>
      <c r="S17" s="32" t="inlineStr">
        <is>
          <t>R</t>
        </is>
      </c>
      <c r="T17" s="32" t="inlineStr">
        <is>
          <t>C</t>
        </is>
      </c>
      <c r="U17" s="32" t="inlineStr">
        <is>
          <t>C</t>
        </is>
      </c>
      <c r="V17" s="32" t="inlineStr">
        <is>
          <t>C</t>
        </is>
      </c>
      <c r="W17" s="24" t="inlineStr">
        <is>
          <t>—</t>
        </is>
      </c>
      <c r="X17" s="26">
        <f>COUNTIF(G17:W17,"A")</f>
        <v/>
      </c>
      <c r="Y17" s="26">
        <f>COUNTIF(G17:W17,"R")</f>
        <v/>
      </c>
      <c r="Z17" s="33">
        <f>IF(A17="","",IF(X17&lt;&gt;1,"A数量必须=1",IF(Y17&lt;1,"至少需要1个R","OK")))</f>
        <v/>
      </c>
      <c r="AA17" s="34" t="inlineStr">
        <is>
          <t>李天友</t>
        </is>
      </c>
      <c r="AB17" s="94" t="inlineStr">
        <is>
          <t>2026.10.4</t>
        </is>
      </c>
      <c r="AC17" s="40" t="inlineStr">
        <is>
          <t>品质部最终负责；业务组对接客户，冲压车间、清洗车间参与问题调查</t>
        </is>
      </c>
      <c r="AD17" s="37" t="n"/>
      <c r="AE17" s="41" t="n"/>
    </row>
    <row r="18" ht="42" customHeight="1">
      <c r="A18" s="31" t="inlineStr">
        <is>
          <t>RACI-014</t>
        </is>
      </c>
      <c r="B18" s="31" t="inlineStr">
        <is>
          <t>改善/审核</t>
        </is>
      </c>
      <c r="C18" s="31" t="inlineStr">
        <is>
          <t>质量体系维护与内外审</t>
        </is>
      </c>
      <c r="D18" s="31" t="inlineStr">
        <is>
          <t>体系文件维护、内审实施、不符合项整改跟踪</t>
        </is>
      </c>
      <c r="E18" s="31" t="inlineStr">
        <is>
          <t>1、《受控文件清单》；2、《内审报告》</t>
        </is>
      </c>
      <c r="F18" s="31" t="inlineStr">
        <is>
          <t>年度内、外审时</t>
        </is>
      </c>
      <c r="G18" s="32" t="inlineStr">
        <is>
          <t>—</t>
        </is>
      </c>
      <c r="H18" s="32" t="inlineStr">
        <is>
          <t>A</t>
        </is>
      </c>
      <c r="I18" s="32" t="inlineStr">
        <is>
          <t>C</t>
        </is>
      </c>
      <c r="J18" s="32" t="inlineStr">
        <is>
          <t>R</t>
        </is>
      </c>
      <c r="K18" s="32" t="inlineStr">
        <is>
          <t>C</t>
        </is>
      </c>
      <c r="L18" s="32" t="inlineStr">
        <is>
          <t>C</t>
        </is>
      </c>
      <c r="M18" s="32" t="inlineStr">
        <is>
          <t>—</t>
        </is>
      </c>
      <c r="N18" s="32" t="inlineStr">
        <is>
          <t>C</t>
        </is>
      </c>
      <c r="O18" s="32" t="inlineStr">
        <is>
          <t>C</t>
        </is>
      </c>
      <c r="P18" s="32" t="inlineStr">
        <is>
          <t>C</t>
        </is>
      </c>
      <c r="Q18" s="32" t="inlineStr">
        <is>
          <t>C</t>
        </is>
      </c>
      <c r="R18" s="32" t="inlineStr">
        <is>
          <t>R</t>
        </is>
      </c>
      <c r="S18" s="32" t="inlineStr">
        <is>
          <t>R</t>
        </is>
      </c>
      <c r="T18" s="32" t="inlineStr">
        <is>
          <t>C</t>
        </is>
      </c>
      <c r="U18" s="32" t="inlineStr">
        <is>
          <t>C</t>
        </is>
      </c>
      <c r="V18" s="32" t="inlineStr">
        <is>
          <t>C</t>
        </is>
      </c>
      <c r="W18" s="24" t="inlineStr">
        <is>
          <t>—</t>
        </is>
      </c>
      <c r="X18" s="26">
        <f>COUNTIF(G18:W18,"A")</f>
        <v/>
      </c>
      <c r="Y18" s="26">
        <f>COUNTIF(G18:W18,"R")</f>
        <v/>
      </c>
      <c r="Z18" s="33">
        <f>IF(A18="","",IF(X18&lt;&gt;1,"A数量必须=1",IF(Y18&lt;1,"至少需要1个R","OK")))</f>
        <v/>
      </c>
      <c r="AA18" s="34" t="inlineStr">
        <is>
          <t>王晓华</t>
        </is>
      </c>
      <c r="AB18" s="94" t="inlineStr">
        <is>
          <t>2026.10.4</t>
        </is>
      </c>
      <c r="AC18" s="40" t="inlineStr">
        <is>
          <t>总经理最终负责，品质部主导执行，各部门参与体系整改工作</t>
        </is>
      </c>
      <c r="AD18" s="37" t="n"/>
      <c r="AE18" s="41" t="n"/>
    </row>
    <row r="19" ht="42" customHeight="1">
      <c r="A19" s="24" t="inlineStr">
        <is>
          <t>RACI-015</t>
        </is>
      </c>
      <c r="B19" s="25" t="inlineStr">
        <is>
          <t>其他</t>
        </is>
      </c>
      <c r="C19" s="25" t="inlineStr">
        <is>
          <t>付款与费用审批</t>
        </is>
      </c>
      <c r="D19" s="25" t="inlineStr">
        <is>
          <t>确认付款、报销和资金审批边界</t>
        </is>
      </c>
      <c r="E19" s="25" t="inlineStr">
        <is>
          <t>1、《付款/费用审批记录》</t>
        </is>
      </c>
      <c r="F19" s="25" t="inlineStr">
        <is>
          <t>发生费用或付款时</t>
        </is>
      </c>
      <c r="G19" s="32" t="inlineStr">
        <is>
          <t>—</t>
        </is>
      </c>
      <c r="H19" s="32" t="inlineStr">
        <is>
          <t>A</t>
        </is>
      </c>
      <c r="I19" s="32" t="inlineStr">
        <is>
          <t>C</t>
        </is>
      </c>
      <c r="J19" s="32" t="inlineStr">
        <is>
          <t>C</t>
        </is>
      </c>
      <c r="K19" s="32" t="inlineStr">
        <is>
          <t>C</t>
        </is>
      </c>
      <c r="L19" s="32" t="inlineStr">
        <is>
          <t>I</t>
        </is>
      </c>
      <c r="M19" s="32" t="inlineStr">
        <is>
          <t>R</t>
        </is>
      </c>
      <c r="N19" s="32" t="inlineStr">
        <is>
          <t>C</t>
        </is>
      </c>
      <c r="O19" s="32" t="inlineStr">
        <is>
          <t>—</t>
        </is>
      </c>
      <c r="P19" s="32" t="inlineStr">
        <is>
          <t>—</t>
        </is>
      </c>
      <c r="Q19" s="32" t="inlineStr">
        <is>
          <t>—</t>
        </is>
      </c>
      <c r="R19" s="32" t="inlineStr">
        <is>
          <t>—</t>
        </is>
      </c>
      <c r="S19" s="32" t="inlineStr">
        <is>
          <t>—</t>
        </is>
      </c>
      <c r="T19" s="32" t="inlineStr">
        <is>
          <t>C</t>
        </is>
      </c>
      <c r="U19" s="32" t="inlineStr">
        <is>
          <t>C</t>
        </is>
      </c>
      <c r="V19" s="32" t="inlineStr">
        <is>
          <t>C</t>
        </is>
      </c>
      <c r="W19" s="24" t="inlineStr">
        <is>
          <t>—</t>
        </is>
      </c>
      <c r="X19" s="26">
        <f>COUNTIF(G19:W19,"A")</f>
        <v/>
      </c>
      <c r="Y19" s="26">
        <f>COUNTIF(G19:W19,"R")</f>
        <v/>
      </c>
      <c r="Z19" s="33">
        <f>IF(A19="","",IF(X19&lt;&gt;1,"A数量必须=1",IF(Y19&lt;1,"至少需要1个R","OK")))</f>
        <v/>
      </c>
      <c r="AA19" s="34" t="inlineStr">
        <is>
          <t>王勇</t>
        </is>
      </c>
      <c r="AB19" s="94" t="inlineStr">
        <is>
          <t>2026.10.4</t>
        </is>
      </c>
      <c r="AC19" s="40" t="inlineStr">
        <is>
          <t>总经理最终审批，出纳岗位执行，各业务部门提供业务咨询信息</t>
        </is>
      </c>
      <c r="AD19" s="37" t="n"/>
      <c r="AE19" s="41" t="n"/>
    </row>
    <row r="20" ht="42" customHeight="1">
      <c r="A20" s="31" t="inlineStr">
        <is>
          <t>RACI-016</t>
        </is>
      </c>
      <c r="B20" s="31" t="inlineStr">
        <is>
          <t>其他</t>
        </is>
      </c>
      <c r="C20" s="31" t="inlineStr">
        <is>
          <t>月度结账出具财务报表</t>
        </is>
      </c>
      <c r="D20" s="31" t="inlineStr">
        <is>
          <t>账务处理、月末关账、编制月度财务报表</t>
        </is>
      </c>
      <c r="E20" s="31" t="inlineStr">
        <is>
          <t>1、《会计凭证》；2、《月度财务报表》</t>
        </is>
      </c>
      <c r="F20" s="31" t="inlineStr">
        <is>
          <t>每月月末关账时</t>
        </is>
      </c>
      <c r="G20" s="32" t="n"/>
      <c r="H20" s="32" t="inlineStr">
        <is>
          <t>A</t>
        </is>
      </c>
      <c r="I20" s="32" t="inlineStr">
        <is>
          <t>—</t>
        </is>
      </c>
      <c r="J20" s="32" t="inlineStr">
        <is>
          <t>—</t>
        </is>
      </c>
      <c r="K20" s="32" t="inlineStr">
        <is>
          <t>—</t>
        </is>
      </c>
      <c r="L20" s="32" t="inlineStr">
        <is>
          <t>—</t>
        </is>
      </c>
      <c r="M20" s="32" t="inlineStr">
        <is>
          <t>R</t>
        </is>
      </c>
      <c r="N20" s="32" t="inlineStr">
        <is>
          <t>—</t>
        </is>
      </c>
      <c r="O20" s="32" t="inlineStr">
        <is>
          <t>—</t>
        </is>
      </c>
      <c r="P20" s="32" t="inlineStr">
        <is>
          <t>—</t>
        </is>
      </c>
      <c r="Q20" s="32" t="inlineStr">
        <is>
          <t>—</t>
        </is>
      </c>
      <c r="R20" s="32" t="inlineStr">
        <is>
          <t>—</t>
        </is>
      </c>
      <c r="S20" s="32" t="inlineStr">
        <is>
          <t>—</t>
        </is>
      </c>
      <c r="T20" s="32" t="inlineStr">
        <is>
          <t>—</t>
        </is>
      </c>
      <c r="U20" s="32" t="inlineStr">
        <is>
          <t>—</t>
        </is>
      </c>
      <c r="V20" s="32" t="inlineStr">
        <is>
          <t>—</t>
        </is>
      </c>
      <c r="W20" s="24" t="inlineStr">
        <is>
          <t>—</t>
        </is>
      </c>
      <c r="X20" s="26">
        <f>COUNTIF(G20:W20,"A")</f>
        <v/>
      </c>
      <c r="Y20" s="26">
        <f>COUNTIF(G20:W20,"R")</f>
        <v/>
      </c>
      <c r="Z20" s="33">
        <f>IF(A20="","",IF(X20&lt;&gt;1,"A数量必须=1",IF(Y20&lt;1,"至少需要1个R","OK")))</f>
        <v/>
      </c>
      <c r="AA20" s="34" t="inlineStr">
        <is>
          <t>王勇</t>
        </is>
      </c>
      <c r="AB20" s="94" t="inlineStr">
        <is>
          <t>2026.10.4</t>
        </is>
      </c>
      <c r="AC20" s="40" t="inlineStr">
        <is>
          <t>总经理最终审批，会计岗位负责账务报表编制执行</t>
        </is>
      </c>
      <c r="AD20" s="37" t="n"/>
      <c r="AE20" s="41" t="n"/>
    </row>
    <row r="21" ht="42" customHeight="1">
      <c r="A21" s="24" t="inlineStr">
        <is>
          <t>RACI-017</t>
        </is>
      </c>
      <c r="B21" s="25" t="inlineStr">
        <is>
          <t>其他</t>
        </is>
      </c>
      <c r="C21" s="25" t="inlineStr">
        <is>
          <t>仓储管理物料出入库与盘点</t>
        </is>
      </c>
      <c r="D21" s="25" t="inlineStr">
        <is>
          <t>物料收料、发料、成品出入库、库存盘点</t>
        </is>
      </c>
      <c r="E21" s="25" t="inlineStr">
        <is>
          <t>1、《出入库单据》；2、《盘点表》</t>
        </is>
      </c>
      <c r="F21" s="25" t="inlineStr">
        <is>
          <t>物料收发，按月盘点时</t>
        </is>
      </c>
      <c r="G21" s="32" t="inlineStr">
        <is>
          <t>—</t>
        </is>
      </c>
      <c r="H21" s="32" t="inlineStr">
        <is>
          <t>I</t>
        </is>
      </c>
      <c r="I21" s="32" t="inlineStr">
        <is>
          <t>C</t>
        </is>
      </c>
      <c r="J21" s="32" t="inlineStr">
        <is>
          <t>I</t>
        </is>
      </c>
      <c r="K21" s="32" t="inlineStr">
        <is>
          <t>A</t>
        </is>
      </c>
      <c r="L21" s="32" t="inlineStr">
        <is>
          <t>—</t>
        </is>
      </c>
      <c r="M21" s="32" t="inlineStr">
        <is>
          <t>I</t>
        </is>
      </c>
      <c r="N21" s="32" t="inlineStr">
        <is>
          <t>—</t>
        </is>
      </c>
      <c r="O21" s="32" t="inlineStr">
        <is>
          <t>—</t>
        </is>
      </c>
      <c r="P21" s="32" t="inlineStr">
        <is>
          <t>—</t>
        </is>
      </c>
      <c r="Q21" s="32" t="inlineStr">
        <is>
          <t>—</t>
        </is>
      </c>
      <c r="R21" s="32" t="inlineStr">
        <is>
          <t>—</t>
        </is>
      </c>
      <c r="S21" s="32" t="inlineStr">
        <is>
          <t>—</t>
        </is>
      </c>
      <c r="T21" s="32" t="inlineStr">
        <is>
          <t>R</t>
        </is>
      </c>
      <c r="U21" s="32" t="inlineStr">
        <is>
          <t>R</t>
        </is>
      </c>
      <c r="V21" s="32" t="inlineStr">
        <is>
          <t>R</t>
        </is>
      </c>
      <c r="W21" s="24" t="inlineStr">
        <is>
          <t>—</t>
        </is>
      </c>
      <c r="X21" s="26">
        <f>COUNTIF(G21:W21,"A")</f>
        <v/>
      </c>
      <c r="Y21" s="26">
        <f>COUNTIF(G21:W21,"R")</f>
        <v/>
      </c>
      <c r="Z21" s="33">
        <f>IF(A21="","",IF(X21&lt;&gt;1,"A数量必须=1",IF(Y21&lt;1,"至少需要1个R","OK")))</f>
        <v/>
      </c>
      <c r="AA21" s="34" t="inlineStr">
        <is>
          <t>王珊兰</t>
        </is>
      </c>
      <c r="AB21" s="94" t="inlineStr">
        <is>
          <t>2026.10.4</t>
        </is>
      </c>
      <c r="AC21" s="40" t="inlineStr">
        <is>
          <t>营运部最终负责，仓储组执行物料出入库及盘点工作</t>
        </is>
      </c>
      <c r="AD21" s="37" t="n"/>
      <c r="AE21" s="41" t="n"/>
    </row>
    <row r="22" ht="42" customHeight="1">
      <c r="A22" s="31" t="inlineStr">
        <is>
          <t>RACI-018</t>
        </is>
      </c>
      <c r="B22" s="31" t="inlineStr">
        <is>
          <t>模具/设备</t>
        </is>
      </c>
      <c r="C22" s="31" t="inlineStr">
        <is>
          <t>模具维修保养作业</t>
        </is>
      </c>
      <c r="D22" s="31" t="inlineStr">
        <is>
          <t>模具故障维修、周期性保养，更新模具台账</t>
        </is>
      </c>
      <c r="E22" s="31" t="inlineStr">
        <is>
          <t>1、《模具维修保养记录》</t>
        </is>
      </c>
      <c r="F22" s="31" t="inlineStr">
        <is>
          <t>模具故障/定期保养时</t>
        </is>
      </c>
      <c r="G22" s="32" t="inlineStr">
        <is>
          <t>—</t>
        </is>
      </c>
      <c r="H22" s="32" t="inlineStr">
        <is>
          <t>—</t>
        </is>
      </c>
      <c r="I22" s="32" t="inlineStr">
        <is>
          <t>I</t>
        </is>
      </c>
      <c r="J22" s="32" t="inlineStr">
        <is>
          <t>I</t>
        </is>
      </c>
      <c r="K22" s="32" t="inlineStr">
        <is>
          <t>—</t>
        </is>
      </c>
      <c r="L22" s="32" t="inlineStr">
        <is>
          <t>—</t>
        </is>
      </c>
      <c r="M22" s="32" t="inlineStr">
        <is>
          <t>—</t>
        </is>
      </c>
      <c r="N22" s="32" t="inlineStr">
        <is>
          <t>A</t>
        </is>
      </c>
      <c r="O22" s="32" t="inlineStr">
        <is>
          <t>—</t>
        </is>
      </c>
      <c r="P22" s="32" t="inlineStr">
        <is>
          <t>R</t>
        </is>
      </c>
      <c r="Q22" s="32" t="inlineStr">
        <is>
          <t>—</t>
        </is>
      </c>
      <c r="R22" s="32" t="inlineStr">
        <is>
          <t>—</t>
        </is>
      </c>
      <c r="S22" s="32" t="inlineStr">
        <is>
          <t>—</t>
        </is>
      </c>
      <c r="T22" s="32" t="inlineStr">
        <is>
          <t>—</t>
        </is>
      </c>
      <c r="U22" s="32" t="inlineStr">
        <is>
          <t>—</t>
        </is>
      </c>
      <c r="V22" s="32" t="inlineStr">
        <is>
          <t>—</t>
        </is>
      </c>
      <c r="W22" s="24" t="inlineStr">
        <is>
          <t>—</t>
        </is>
      </c>
      <c r="X22" s="26">
        <f>COUNTIF(G22:W22,"A")</f>
        <v/>
      </c>
      <c r="Y22" s="26">
        <f>COUNTIF(G22:W22,"R")</f>
        <v/>
      </c>
      <c r="Z22" s="33">
        <f>IF(A22="","",IF(X22&lt;&gt;1,"A数量必须=1",IF(Y22&lt;1,"至少需要1个R","OK")))</f>
        <v/>
      </c>
      <c r="AA22" s="34" t="inlineStr">
        <is>
          <t>王杰</t>
        </is>
      </c>
      <c r="AB22" s="94" t="inlineStr">
        <is>
          <t>2026.10.4</t>
        </is>
      </c>
      <c r="AC22" s="40" t="inlineStr">
        <is>
          <t>工程技术组最终负责，模具维修组执行模具维修保养作业</t>
        </is>
      </c>
      <c r="AD22" s="37" t="n"/>
      <c r="AE22" s="41" t="n"/>
    </row>
    <row r="23" ht="42" customHeight="1">
      <c r="A23" s="31" t="inlineStr">
        <is>
          <t>RACI-019</t>
        </is>
      </c>
      <c r="B23" s="31" t="inlineStr">
        <is>
          <t>模具/设备</t>
        </is>
      </c>
      <c r="C23" s="31" t="inlineStr">
        <is>
          <t>冲床日常点检维护</t>
        </is>
      </c>
      <c r="D23" s="31" t="inlineStr">
        <is>
          <t>冲开班点检、故障报修处置</t>
        </is>
      </c>
      <c r="E23" s="31" t="inlineStr">
        <is>
          <t>1、《冲床点检记录》；2、《设备维修单》</t>
        </is>
      </c>
      <c r="F23" s="31" t="inlineStr">
        <is>
          <t>每日开班、设备故障发生时</t>
        </is>
      </c>
      <c r="G23" s="32" t="inlineStr">
        <is>
          <t>—</t>
        </is>
      </c>
      <c r="H23" s="32" t="inlineStr">
        <is>
          <t>—</t>
        </is>
      </c>
      <c r="I23" s="32" t="inlineStr">
        <is>
          <t>A</t>
        </is>
      </c>
      <c r="J23" s="32" t="inlineStr">
        <is>
          <t>I</t>
        </is>
      </c>
      <c r="K23" s="32" t="inlineStr">
        <is>
          <t>—</t>
        </is>
      </c>
      <c r="L23" s="32" t="inlineStr">
        <is>
          <t>—</t>
        </is>
      </c>
      <c r="M23" s="32" t="inlineStr">
        <is>
          <t>—</t>
        </is>
      </c>
      <c r="N23" s="32" t="inlineStr">
        <is>
          <t>C</t>
        </is>
      </c>
      <c r="O23" s="32" t="inlineStr">
        <is>
          <t>R</t>
        </is>
      </c>
      <c r="P23" s="32" t="inlineStr">
        <is>
          <t>R</t>
        </is>
      </c>
      <c r="Q23" s="32" t="inlineStr">
        <is>
          <t>R</t>
        </is>
      </c>
      <c r="R23" s="32" t="inlineStr">
        <is>
          <t>I</t>
        </is>
      </c>
      <c r="S23" s="32" t="inlineStr">
        <is>
          <t>I</t>
        </is>
      </c>
      <c r="T23" s="32" t="inlineStr">
        <is>
          <t>—</t>
        </is>
      </c>
      <c r="U23" s="32" t="inlineStr">
        <is>
          <t>—</t>
        </is>
      </c>
      <c r="V23" s="32" t="inlineStr">
        <is>
          <t>—</t>
        </is>
      </c>
      <c r="W23" s="24" t="inlineStr">
        <is>
          <t>—</t>
        </is>
      </c>
      <c r="X23" s="26">
        <f>COUNTIF(G23:W23,"A")</f>
        <v/>
      </c>
      <c r="Y23" s="26">
        <f>COUNTIF(G23:W23,"R")</f>
        <v/>
      </c>
      <c r="Z23" s="33">
        <f>IF(A23="","",IF(X23&lt;&gt;1,"A数量必须=1",IF(Y23&lt;1,"至少需要1个R","OK")))</f>
        <v/>
      </c>
      <c r="AA23" s="34" t="inlineStr">
        <is>
          <t>王小平</t>
        </is>
      </c>
      <c r="AB23" s="94" t="inlineStr">
        <is>
          <t>2026.10.4</t>
        </is>
      </c>
      <c r="AC23" s="40" t="inlineStr">
        <is>
          <t>生产部最终负责，冲压车间执行冲床点检维护工作</t>
        </is>
      </c>
      <c r="AD23" s="37" t="n"/>
      <c r="AE23" s="41" t="n"/>
    </row>
    <row r="24" ht="42" customHeight="1">
      <c r="A24" s="24" t="inlineStr">
        <is>
          <t>RACI-020</t>
        </is>
      </c>
      <c r="B24" s="25" t="inlineStr">
        <is>
          <t>模具/设备</t>
        </is>
      </c>
      <c r="C24" s="25" t="inlineStr">
        <is>
          <t>清洗设备日常点检维护</t>
        </is>
      </c>
      <c r="D24" s="25" t="inlineStr">
        <is>
          <t>清洗设备开班点检、故障报修处置</t>
        </is>
      </c>
      <c r="E24" s="25" t="inlineStr">
        <is>
          <t>1、《清洗设备点检记录》；2、《设备维修单》</t>
        </is>
      </c>
      <c r="F24" s="25" t="inlineStr">
        <is>
          <t>每日开班、设备故障发生时</t>
        </is>
      </c>
      <c r="G24" s="32" t="inlineStr">
        <is>
          <t>—</t>
        </is>
      </c>
      <c r="H24" s="32" t="inlineStr">
        <is>
          <t>—</t>
        </is>
      </c>
      <c r="I24" s="32" t="inlineStr">
        <is>
          <t>A</t>
        </is>
      </c>
      <c r="J24" s="32" t="inlineStr">
        <is>
          <t>I</t>
        </is>
      </c>
      <c r="K24" s="32" t="inlineStr">
        <is>
          <t>—</t>
        </is>
      </c>
      <c r="L24" s="32" t="inlineStr">
        <is>
          <t>—</t>
        </is>
      </c>
      <c r="M24" s="32" t="inlineStr">
        <is>
          <t>—</t>
        </is>
      </c>
      <c r="N24" s="32" t="inlineStr">
        <is>
          <t>C</t>
        </is>
      </c>
      <c r="O24" s="32" t="inlineStr">
        <is>
          <t>R</t>
        </is>
      </c>
      <c r="P24" s="32" t="inlineStr">
        <is>
          <t>R</t>
        </is>
      </c>
      <c r="Q24" s="32" t="inlineStr">
        <is>
          <t>R</t>
        </is>
      </c>
      <c r="R24" s="32" t="inlineStr">
        <is>
          <t>I</t>
        </is>
      </c>
      <c r="S24" s="32" t="inlineStr">
        <is>
          <t>I</t>
        </is>
      </c>
      <c r="T24" s="32" t="inlineStr">
        <is>
          <t>—</t>
        </is>
      </c>
      <c r="U24" s="32" t="inlineStr">
        <is>
          <t>—</t>
        </is>
      </c>
      <c r="V24" s="32" t="inlineStr">
        <is>
          <t>—</t>
        </is>
      </c>
      <c r="W24" s="24" t="inlineStr">
        <is>
          <t>—</t>
        </is>
      </c>
      <c r="X24" s="26">
        <f>COUNTIF(G24:W24,"A")</f>
        <v/>
      </c>
      <c r="Y24" s="26">
        <f>COUNTIF(G24:W24,"R")</f>
        <v/>
      </c>
      <c r="Z24" s="33">
        <f>IF(A24="","",IF(X24&lt;&gt;1,"A数量必须=1",IF(Y24&lt;1,"至少需要1个R","OK")))</f>
        <v/>
      </c>
      <c r="AA24" s="34" t="inlineStr">
        <is>
          <t>马金军</t>
        </is>
      </c>
      <c r="AB24" s="94" t="inlineStr">
        <is>
          <t>2026.10.4</t>
        </is>
      </c>
      <c r="AC24" s="40" t="inlineStr">
        <is>
          <t>生产部最终负责，清洗车间执行清洗设备点检维护工作</t>
        </is>
      </c>
      <c r="AD24" s="37" t="n"/>
      <c r="AE24" s="41" t="n"/>
    </row>
    <row r="25" ht="42" customHeight="1">
      <c r="A25" s="31" t="inlineStr">
        <is>
          <t>RACI-021</t>
        </is>
      </c>
      <c r="B25" s="31" t="inlineStr">
        <is>
          <t>产品/技术</t>
        </is>
      </c>
      <c r="C25" s="31" t="inlineStr">
        <is>
          <t>模具维修与模具技改</t>
        </is>
      </c>
      <c r="D25" s="31" t="inlineStr">
        <is>
          <t>模具维修技术支持；模具维修方案评审；模具技术问题攻关；维修工艺优化；技术文档编制；对接生产和模具维修组</t>
        </is>
      </c>
      <c r="E25" s="31" t="inlineStr">
        <is>
          <t>1、《模具评审记录》；2、《工艺文件》</t>
        </is>
      </c>
      <c r="F25" s="31" t="inlineStr">
        <is>
          <t>模具维修技术疑难问题、技改发生时</t>
        </is>
      </c>
      <c r="G25" s="32" t="inlineStr">
        <is>
          <t>—</t>
        </is>
      </c>
      <c r="H25" s="32" t="inlineStr">
        <is>
          <t>C</t>
        </is>
      </c>
      <c r="I25" s="32" t="inlineStr">
        <is>
          <t>R</t>
        </is>
      </c>
      <c r="J25" s="32" t="inlineStr">
        <is>
          <t>C</t>
        </is>
      </c>
      <c r="K25" s="32" t="inlineStr">
        <is>
          <t>C</t>
        </is>
      </c>
      <c r="L25" s="32" t="inlineStr">
        <is>
          <t>—</t>
        </is>
      </c>
      <c r="M25" s="32" t="inlineStr">
        <is>
          <t>—</t>
        </is>
      </c>
      <c r="N25" s="32" t="inlineStr">
        <is>
          <t>A</t>
        </is>
      </c>
      <c r="O25" s="32" t="inlineStr">
        <is>
          <t>R</t>
        </is>
      </c>
      <c r="P25" s="32" t="inlineStr">
        <is>
          <t>R</t>
        </is>
      </c>
      <c r="Q25" s="32" t="inlineStr">
        <is>
          <t>R</t>
        </is>
      </c>
      <c r="R25" s="32" t="inlineStr">
        <is>
          <t>—</t>
        </is>
      </c>
      <c r="S25" s="32" t="inlineStr">
        <is>
          <t>—</t>
        </is>
      </c>
      <c r="T25" s="32" t="inlineStr">
        <is>
          <t>—</t>
        </is>
      </c>
      <c r="U25" s="32" t="inlineStr">
        <is>
          <t>—</t>
        </is>
      </c>
      <c r="V25" s="32" t="inlineStr">
        <is>
          <t>—</t>
        </is>
      </c>
      <c r="W25" s="24" t="inlineStr">
        <is>
          <t>—</t>
        </is>
      </c>
      <c r="X25" s="26">
        <f>COUNTIF(G25:W25,"A")</f>
        <v/>
      </c>
      <c r="Y25" s="26">
        <f>COUNTIF(G25:W25,"R")</f>
        <v/>
      </c>
      <c r="Z25" s="33">
        <f>IF(A25="","",IF(X25&lt;&gt;1,"A数量必须=1",IF(Y25&lt;1,"至少需要1个R","OK")))</f>
        <v/>
      </c>
      <c r="AA25" s="34" t="inlineStr">
        <is>
          <t>刘东</t>
        </is>
      </c>
      <c r="AB25" s="94" t="inlineStr">
        <is>
          <t>2026.10.4</t>
        </is>
      </c>
      <c r="AC25" s="40" t="inlineStr">
        <is>
          <t>工程技术组最终负责；总经理、生产部、品质部、模具维修组参与方案评审</t>
        </is>
      </c>
      <c r="AD25" s="37" t="n"/>
      <c r="AE25" s="41" t="n"/>
    </row>
    <row r="26" ht="42" customHeight="1">
      <c r="A26" s="24" t="inlineStr">
        <is>
          <t>RACI-022</t>
        </is>
      </c>
      <c r="B26" s="25" t="inlineStr">
        <is>
          <t>行政/人事</t>
        </is>
      </c>
      <c r="C26" s="25" t="inlineStr">
        <is>
          <t>员工入离职手续办理</t>
        </is>
      </c>
      <c r="D26" s="25" t="inlineStr">
        <is>
          <t>入职登记、合同签订、离职审批及手续办理</t>
        </is>
      </c>
      <c r="E26" s="25" t="inlineStr">
        <is>
          <t>1、《员工档案》；2、《入离职表单》</t>
        </is>
      </c>
      <c r="F26" s="25" t="inlineStr">
        <is>
          <t>人员入职、离职发生时</t>
        </is>
      </c>
      <c r="G26" s="32" t="inlineStr">
        <is>
          <t>—</t>
        </is>
      </c>
      <c r="H26" s="32" t="inlineStr">
        <is>
          <t>A</t>
        </is>
      </c>
      <c r="I26" s="32" t="inlineStr">
        <is>
          <t>C</t>
        </is>
      </c>
      <c r="J26" s="32" t="inlineStr">
        <is>
          <t>C</t>
        </is>
      </c>
      <c r="K26" s="32" t="inlineStr">
        <is>
          <t>—</t>
        </is>
      </c>
      <c r="L26" s="32" t="inlineStr">
        <is>
          <t>R</t>
        </is>
      </c>
      <c r="M26" s="32" t="inlineStr">
        <is>
          <t>I</t>
        </is>
      </c>
      <c r="N26" s="32" t="inlineStr">
        <is>
          <t>—</t>
        </is>
      </c>
      <c r="O26" s="32" t="inlineStr">
        <is>
          <t>—</t>
        </is>
      </c>
      <c r="P26" s="32" t="inlineStr">
        <is>
          <t>—</t>
        </is>
      </c>
      <c r="Q26" s="32" t="inlineStr">
        <is>
          <t>—</t>
        </is>
      </c>
      <c r="R26" s="32" t="inlineStr">
        <is>
          <t>—</t>
        </is>
      </c>
      <c r="S26" s="32" t="inlineStr">
        <is>
          <t>—</t>
        </is>
      </c>
      <c r="T26" s="32" t="inlineStr">
        <is>
          <t>—</t>
        </is>
      </c>
      <c r="U26" s="32" t="inlineStr">
        <is>
          <t>—</t>
        </is>
      </c>
      <c r="V26" s="32" t="inlineStr">
        <is>
          <t>—</t>
        </is>
      </c>
      <c r="W26" s="24" t="inlineStr">
        <is>
          <t>—</t>
        </is>
      </c>
      <c r="X26" s="26">
        <f>COUNTIF(G26:W26,"A")</f>
        <v/>
      </c>
      <c r="Y26" s="26">
        <f>COUNTIF(G26:W26,"R")</f>
        <v/>
      </c>
      <c r="Z26" s="33">
        <f>IF(A26="","",IF(X26&lt;&gt;1,"A数量必须=1",IF(Y26&lt;1,"至少需要1个R","OK")))</f>
        <v/>
      </c>
      <c r="AA26" s="34" t="inlineStr">
        <is>
          <t>王晓华</t>
        </is>
      </c>
      <c r="AB26" s="94" t="inlineStr">
        <is>
          <t>2026.10.4</t>
        </is>
      </c>
      <c r="AC26" s="40" t="inlineStr">
        <is>
          <t>总经理最终审批，行政部人事员办理入离职实操工作</t>
        </is>
      </c>
      <c r="AD26" s="37" t="n"/>
      <c r="AE26" s="41" t="n"/>
    </row>
    <row r="27" ht="42" customHeight="1">
      <c r="A27" s="31" t="inlineStr">
        <is>
          <t>RACI-023</t>
        </is>
      </c>
      <c r="B27" s="31" t="inlineStr">
        <is>
          <t>行政/人事</t>
        </is>
      </c>
      <c r="C27" s="31" t="inlineStr">
        <is>
          <t>考勤统计核算基础数据</t>
        </is>
      </c>
      <c r="D27" s="31" t="inlineStr">
        <is>
          <t>考勤收集、加班核对，输出月度考勤表</t>
        </is>
      </c>
      <c r="E27" s="31" t="inlineStr">
        <is>
          <t>1、《月度考勤汇总表》</t>
        </is>
      </c>
      <c r="F27" s="31" t="inlineStr">
        <is>
          <t>每月月末时</t>
        </is>
      </c>
      <c r="G27" s="32" t="inlineStr">
        <is>
          <t>—</t>
        </is>
      </c>
      <c r="H27" s="32" t="inlineStr">
        <is>
          <t>A</t>
        </is>
      </c>
      <c r="I27" s="32" t="inlineStr">
        <is>
          <t>C</t>
        </is>
      </c>
      <c r="J27" s="32" t="inlineStr">
        <is>
          <t>C</t>
        </is>
      </c>
      <c r="K27" s="32" t="inlineStr">
        <is>
          <t>—</t>
        </is>
      </c>
      <c r="L27" s="32" t="inlineStr">
        <is>
          <t>R</t>
        </is>
      </c>
      <c r="M27" s="32" t="inlineStr">
        <is>
          <t>I</t>
        </is>
      </c>
      <c r="N27" s="32" t="inlineStr">
        <is>
          <t>—</t>
        </is>
      </c>
      <c r="O27" s="32" t="inlineStr">
        <is>
          <t>—</t>
        </is>
      </c>
      <c r="P27" s="32" t="inlineStr">
        <is>
          <t>—</t>
        </is>
      </c>
      <c r="Q27" s="32" t="inlineStr">
        <is>
          <t>—</t>
        </is>
      </c>
      <c r="R27" s="32" t="inlineStr">
        <is>
          <t>—</t>
        </is>
      </c>
      <c r="S27" s="32" t="inlineStr">
        <is>
          <t>—</t>
        </is>
      </c>
      <c r="T27" s="32" t="inlineStr">
        <is>
          <t>—</t>
        </is>
      </c>
      <c r="U27" s="32" t="inlineStr">
        <is>
          <t>—</t>
        </is>
      </c>
      <c r="V27" s="32" t="inlineStr">
        <is>
          <t>—</t>
        </is>
      </c>
      <c r="W27" s="24" t="inlineStr">
        <is>
          <t>—</t>
        </is>
      </c>
      <c r="X27" s="26">
        <f>COUNTIF(G27:W27,"A")</f>
        <v/>
      </c>
      <c r="Y27" s="26">
        <f>COUNTIF(G27:W27,"R")</f>
        <v/>
      </c>
      <c r="Z27" s="33">
        <f>IF(A27="","",IF(X27&lt;&gt;1,"A数量必须=1",IF(Y27&lt;1,"至少需要1个R","OK")))</f>
        <v/>
      </c>
      <c r="AA27" s="34" t="inlineStr">
        <is>
          <t>王晓华</t>
        </is>
      </c>
      <c r="AB27" s="94" t="inlineStr">
        <is>
          <t>2026.10.4</t>
        </is>
      </c>
      <c r="AC27" s="40" t="inlineStr">
        <is>
          <t>总经理最终审批，行政部人事员完成考勤统计核算</t>
        </is>
      </c>
      <c r="AD27" s="37" t="n"/>
      <c r="AE27" s="41" t="n"/>
    </row>
    <row r="28" ht="42" customHeight="1">
      <c r="A28" s="24" t="inlineStr">
        <is>
          <t>RACI-024</t>
        </is>
      </c>
      <c r="B28" s="25" t="inlineStr">
        <is>
          <t>行政/人事</t>
        </is>
      </c>
      <c r="C28" s="25" t="inlineStr">
        <is>
          <t>厂区安保及食堂管理</t>
        </is>
      </c>
      <c r="D28" s="25" t="inlineStr">
        <is>
          <t>门卫值守访客登记、食堂餐食及后勤环境管理</t>
        </is>
      </c>
      <c r="E28" s="25" t="inlineStr">
        <is>
          <t>1、《访客登记本》；2、《食堂消毒记录》</t>
        </is>
      </c>
      <c r="F28" s="25" t="inlineStr">
        <is>
          <t>日常持续运行时</t>
        </is>
      </c>
      <c r="G28" s="32" t="inlineStr">
        <is>
          <t>—</t>
        </is>
      </c>
      <c r="H28" s="32" t="inlineStr">
        <is>
          <t>—</t>
        </is>
      </c>
      <c r="I28" s="32" t="inlineStr">
        <is>
          <t>—</t>
        </is>
      </c>
      <c r="J28" s="32" t="inlineStr">
        <is>
          <t>—</t>
        </is>
      </c>
      <c r="K28" s="32" t="inlineStr">
        <is>
          <t>—</t>
        </is>
      </c>
      <c r="L28" s="32" t="inlineStr">
        <is>
          <t>A</t>
        </is>
      </c>
      <c r="M28" s="32" t="inlineStr">
        <is>
          <t>I</t>
        </is>
      </c>
      <c r="N28" s="32" t="inlineStr">
        <is>
          <t>—</t>
        </is>
      </c>
      <c r="O28" s="32" t="inlineStr">
        <is>
          <t>—</t>
        </is>
      </c>
      <c r="P28" s="32" t="inlineStr">
        <is>
          <t>—</t>
        </is>
      </c>
      <c r="Q28" s="32" t="inlineStr">
        <is>
          <t>—</t>
        </is>
      </c>
      <c r="R28" s="32" t="inlineStr">
        <is>
          <t>—</t>
        </is>
      </c>
      <c r="S28" s="32" t="inlineStr">
        <is>
          <t>—</t>
        </is>
      </c>
      <c r="T28" s="32" t="inlineStr">
        <is>
          <t>—</t>
        </is>
      </c>
      <c r="U28" s="32" t="inlineStr">
        <is>
          <t>—</t>
        </is>
      </c>
      <c r="V28" s="32" t="inlineStr">
        <is>
          <t>—</t>
        </is>
      </c>
      <c r="W28" s="26" t="inlineStr">
        <is>
          <t>R</t>
        </is>
      </c>
      <c r="X28" s="26">
        <f>COUNTIF(G28:W28,"A")</f>
        <v/>
      </c>
      <c r="Y28" s="26">
        <f>COUNTIF(G28:W28,"R")</f>
        <v/>
      </c>
      <c r="Z28" s="33">
        <f>IF(A28="","",IF(X28&lt;&gt;1,"A数量必须=1",IF(Y28&lt;1,"至少需要1个R","OK")))</f>
        <v/>
      </c>
      <c r="AA28" s="34" t="inlineStr">
        <is>
          <t>王晓华</t>
        </is>
      </c>
      <c r="AB28" s="94" t="inlineStr">
        <is>
          <t>2026.10.4</t>
        </is>
      </c>
      <c r="AC28" s="40" t="inlineStr">
        <is>
          <t>行政部负责，后勤岗位（门卫、炊事员）开展安保食堂日常作业</t>
        </is>
      </c>
      <c r="AD28" s="37" t="n"/>
      <c r="AE28" s="41" t="n"/>
    </row>
    <row r="29" ht="42" customHeight="1">
      <c r="A29" s="31" t="n"/>
      <c r="B29" s="31" t="n"/>
      <c r="C29" s="31" t="n"/>
      <c r="D29" s="31" t="n"/>
      <c r="E29" s="31" t="n"/>
      <c r="F29" s="31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3" t="n"/>
      <c r="Z29" s="33">
        <f>IF(A29="","",IF(X29&lt;&gt;1,"A数量必须=1",IF(Y29&lt;1,"至少需要1个R","OK")))</f>
        <v/>
      </c>
      <c r="AA29" s="44" t="n"/>
      <c r="AB29" s="95" t="n"/>
      <c r="AC29" s="46" t="n"/>
      <c r="AD29" s="41" t="n"/>
      <c r="AE29" s="41" t="n"/>
    </row>
    <row r="30" ht="42" customHeight="1">
      <c r="A30" s="47" t="n"/>
      <c r="B30" s="48" t="n"/>
      <c r="C30" s="48" t="n"/>
      <c r="D30" s="48" t="n"/>
      <c r="E30" s="48" t="n"/>
      <c r="F30" s="48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9" t="n"/>
      <c r="X30" s="42" t="n"/>
      <c r="Y30" s="49" t="n"/>
      <c r="Z30" s="33">
        <f>IF(A30="","",IF(X30&lt;&gt;1,"A数量必须=1",IF(Y30&lt;1,"至少需要1个R","OK")))</f>
        <v/>
      </c>
      <c r="AA30" s="44" t="n"/>
      <c r="AB30" s="95" t="n"/>
      <c r="AC30" s="46" t="n"/>
      <c r="AD30" s="41" t="n"/>
      <c r="AE30" s="41" t="n"/>
    </row>
    <row r="31" ht="42" customHeight="1">
      <c r="A31" s="42" t="n"/>
      <c r="B31" s="44" t="n"/>
      <c r="C31" s="44" t="n"/>
      <c r="D31" s="44" t="n"/>
      <c r="E31" s="44" t="n"/>
      <c r="F31" s="44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3" t="n"/>
      <c r="X31" s="43" t="n"/>
      <c r="Y31" s="43" t="n"/>
      <c r="Z31" s="33">
        <f>IF(A31="","",IF(X31&lt;&gt;1,"A数量必须=1",IF(Y31&lt;1,"至少需要1个R","OK")))</f>
        <v/>
      </c>
      <c r="AA31" s="44" t="n"/>
      <c r="AB31" s="95" t="n"/>
      <c r="AC31" s="46" t="n"/>
      <c r="AD31" s="50" t="n"/>
      <c r="AE31" s="50" t="n"/>
    </row>
    <row r="32" ht="42" customHeight="1">
      <c r="A32" s="42" t="n"/>
      <c r="B32" s="44" t="n"/>
      <c r="C32" s="44" t="n"/>
      <c r="D32" s="44" t="n"/>
      <c r="E32" s="44" t="n"/>
      <c r="F32" s="44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3" t="n"/>
      <c r="X32" s="43" t="n"/>
      <c r="Y32" s="43" t="n"/>
      <c r="Z32" s="33">
        <f>IF(A32="","",IF(X32&lt;&gt;1,"A数量必须=1",IF(Y32&lt;1,"至少需要1个R","OK")))</f>
        <v/>
      </c>
      <c r="AA32" s="44" t="n"/>
      <c r="AB32" s="95" t="n"/>
      <c r="AC32" s="46" t="n"/>
      <c r="AD32" s="50" t="n"/>
      <c r="AE32" s="50" t="n"/>
    </row>
    <row r="33" ht="42" customHeight="1">
      <c r="A33" s="42" t="n"/>
      <c r="B33" s="44" t="n"/>
      <c r="C33" s="44" t="n"/>
      <c r="D33" s="44" t="n"/>
      <c r="E33" s="44" t="n"/>
      <c r="F33" s="44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51" t="n"/>
      <c r="X33" s="51" t="n"/>
      <c r="Y33" s="51" t="n"/>
      <c r="Z33" s="33">
        <f>IF(A33="","",IF(X33&lt;&gt;1,"A数量必须=1",IF(Y33&lt;1,"至少需要1个R","OK")))</f>
        <v/>
      </c>
      <c r="AA33" s="44" t="n"/>
      <c r="AB33" s="95" t="n"/>
      <c r="AC33" s="46" t="n"/>
      <c r="AD33" s="50" t="n"/>
      <c r="AE33" s="50" t="n"/>
    </row>
    <row r="34" ht="42" customHeight="1">
      <c r="A34" s="42" t="n"/>
      <c r="B34" s="44" t="n"/>
      <c r="C34" s="44" t="n"/>
      <c r="D34" s="44" t="n"/>
      <c r="E34" s="44" t="n"/>
      <c r="F34" s="44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51" t="n"/>
      <c r="X34" s="51" t="n"/>
      <c r="Y34" s="51" t="n"/>
      <c r="Z34" s="33">
        <f>IF(A34="","",IF(X34&lt;&gt;1,"A数量必须=1",IF(Y34&lt;1,"至少需要1个R","OK")))</f>
        <v/>
      </c>
      <c r="AA34" s="44" t="n"/>
      <c r="AB34" s="95" t="n"/>
      <c r="AC34" s="46" t="n"/>
      <c r="AD34" s="50" t="n"/>
      <c r="AE34" s="50" t="n"/>
    </row>
    <row r="35" ht="42" customHeight="1">
      <c r="A35" s="52" t="n"/>
      <c r="B35" s="53" t="n"/>
      <c r="C35" s="53" t="n"/>
      <c r="D35" s="53" t="n"/>
      <c r="E35" s="53" t="n"/>
      <c r="F35" s="53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4" t="n"/>
      <c r="X35" s="54" t="n"/>
      <c r="Y35" s="54" t="n"/>
      <c r="Z35" s="27">
        <f>IF(A35="","",IF(X35&lt;&gt;1,"A数量必须=1",IF(Y35&lt;1,"至少需要1个R","OK")))</f>
        <v/>
      </c>
      <c r="AA35" s="53" t="n"/>
      <c r="AB35" s="96" t="n"/>
      <c r="AC35" s="56" t="n"/>
    </row>
    <row r="36" ht="42" customHeight="1">
      <c r="A36" s="47" t="n"/>
      <c r="B36" s="48" t="n"/>
      <c r="C36" s="48" t="n"/>
      <c r="D36" s="48" t="n"/>
      <c r="E36" s="48" t="n"/>
      <c r="F36" s="48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57" t="n"/>
      <c r="X36" s="57" t="n"/>
      <c r="Y36" s="57" t="n"/>
      <c r="Z36" s="58">
        <f>IF(A36="","",IF(X36&lt;&gt;1,"A数量必须=1",IF(Y36&lt;1,"至少需要1个R","OK")))</f>
        <v/>
      </c>
      <c r="AA36" s="48" t="n"/>
      <c r="AB36" s="97" t="n"/>
      <c r="AC36" s="60" t="n"/>
    </row>
    <row r="37" ht="42" customHeight="1">
      <c r="A37" s="52" t="n"/>
      <c r="B37" s="53" t="n"/>
      <c r="C37" s="53" t="n"/>
      <c r="D37" s="53" t="n"/>
      <c r="E37" s="53" t="n"/>
      <c r="F37" s="53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4" t="n"/>
      <c r="X37" s="54" t="n"/>
      <c r="Y37" s="54" t="n"/>
      <c r="Z37" s="27">
        <f>IF(A37="","",IF(X37&lt;&gt;1,"A数量必须=1",IF(Y37&lt;1,"至少需要1个R","OK")))</f>
        <v/>
      </c>
      <c r="AA37" s="53" t="n"/>
      <c r="AB37" s="96" t="n"/>
      <c r="AC37" s="56" t="n"/>
    </row>
    <row r="38" ht="42" customHeight="1">
      <c r="A38" s="47" t="n"/>
      <c r="B38" s="48" t="n"/>
      <c r="C38" s="48" t="n"/>
      <c r="D38" s="48" t="n"/>
      <c r="E38" s="48" t="n"/>
      <c r="F38" s="48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57" t="n"/>
      <c r="X38" s="57" t="n"/>
      <c r="Y38" s="57" t="n"/>
      <c r="Z38" s="58">
        <f>IF(A38="","",IF(X38&lt;&gt;1,"A数量必须=1",IF(Y38&lt;1,"至少需要1个R","OK")))</f>
        <v/>
      </c>
      <c r="AA38" s="48" t="n"/>
      <c r="AB38" s="97" t="n"/>
      <c r="AC38" s="60" t="n"/>
    </row>
    <row r="39" ht="42" customHeight="1">
      <c r="A39" s="52" t="n"/>
      <c r="B39" s="53" t="n"/>
      <c r="C39" s="53" t="n"/>
      <c r="D39" s="53" t="n"/>
      <c r="E39" s="53" t="n"/>
      <c r="F39" s="53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4" t="n"/>
      <c r="X39" s="54" t="n"/>
      <c r="Y39" s="54" t="n"/>
      <c r="Z39" s="27">
        <f>IF(A39="","",IF(X39&lt;&gt;1,"A数量必须=1",IF(Y39&lt;1,"至少需要1个R","OK")))</f>
        <v/>
      </c>
      <c r="AA39" s="53" t="n"/>
      <c r="AB39" s="96" t="n"/>
      <c r="AC39" s="56" t="n"/>
    </row>
    <row r="40" ht="42" customHeight="1">
      <c r="A40" s="47" t="n"/>
      <c r="B40" s="48" t="n"/>
      <c r="C40" s="48" t="n"/>
      <c r="D40" s="48" t="n"/>
      <c r="E40" s="48" t="n"/>
      <c r="F40" s="48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57" t="n"/>
      <c r="X40" s="57" t="n"/>
      <c r="Y40" s="57" t="n"/>
      <c r="Z40" s="58">
        <f>IF(A40="","",IF(X40&lt;&gt;1,"A数量必须=1",IF(Y40&lt;1,"至少需要1个R","OK")))</f>
        <v/>
      </c>
      <c r="AA40" s="48" t="n"/>
      <c r="AB40" s="97" t="n"/>
      <c r="AC40" s="60" t="n"/>
    </row>
    <row r="41" ht="42" customHeight="1">
      <c r="A41" s="52" t="n"/>
      <c r="B41" s="53" t="n"/>
      <c r="C41" s="53" t="n"/>
      <c r="D41" s="53" t="n"/>
      <c r="E41" s="53" t="n"/>
      <c r="F41" s="53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4" t="n"/>
      <c r="X41" s="54" t="n"/>
      <c r="Y41" s="54" t="n"/>
      <c r="Z41" s="27">
        <f>IF(A41="","",IF(X41&lt;&gt;1,"A数量必须=1",IF(Y41&lt;1,"至少需要1个R","OK")))</f>
        <v/>
      </c>
      <c r="AA41" s="53" t="n"/>
      <c r="AB41" s="96" t="n"/>
      <c r="AC41" s="56" t="n"/>
    </row>
    <row r="42" ht="42" customHeight="1">
      <c r="A42" s="47" t="n"/>
      <c r="B42" s="48" t="n"/>
      <c r="C42" s="48" t="n"/>
      <c r="D42" s="48" t="n"/>
      <c r="E42" s="48" t="n"/>
      <c r="F42" s="48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57" t="n"/>
      <c r="X42" s="57" t="n"/>
      <c r="Y42" s="57" t="n"/>
      <c r="Z42" s="58">
        <f>IF(A42="","",IF(X42&lt;&gt;1,"A数量必须=1",IF(Y42&lt;1,"至少需要1个R","OK")))</f>
        <v/>
      </c>
      <c r="AA42" s="48" t="n"/>
      <c r="AB42" s="97" t="n"/>
      <c r="AC42" s="60" t="n"/>
    </row>
    <row r="43" ht="42" customHeight="1">
      <c r="A43" s="52" t="n"/>
      <c r="B43" s="53" t="n"/>
      <c r="C43" s="53" t="n"/>
      <c r="D43" s="53" t="n"/>
      <c r="E43" s="53" t="n"/>
      <c r="F43" s="53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4" t="n"/>
      <c r="X43" s="54" t="n"/>
      <c r="Y43" s="54" t="n"/>
      <c r="Z43" s="27">
        <f>IF(A43="","",IF(X43&lt;&gt;1,"A数量必须=1",IF(Y43&lt;1,"至少需要1个R","OK")))</f>
        <v/>
      </c>
      <c r="AA43" s="53" t="n"/>
      <c r="AB43" s="96" t="n"/>
      <c r="AC43" s="56" t="n"/>
    </row>
    <row r="44" ht="42" customHeight="1">
      <c r="A44" s="47" t="n"/>
      <c r="B44" s="48" t="n"/>
      <c r="C44" s="48" t="n"/>
      <c r="D44" s="48" t="n"/>
      <c r="E44" s="48" t="n"/>
      <c r="F44" s="48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57" t="n"/>
      <c r="X44" s="57" t="n"/>
      <c r="Y44" s="57" t="n"/>
      <c r="Z44" s="58">
        <f>IF(A44="","",IF(X44&lt;&gt;1,"A数量必须=1",IF(Y44&lt;1,"至少需要1个R","OK")))</f>
        <v/>
      </c>
      <c r="AA44" s="48" t="n"/>
      <c r="AB44" s="97" t="n"/>
      <c r="AC44" s="60" t="n"/>
    </row>
    <row r="45" ht="42" customHeight="1">
      <c r="A45" s="52" t="n"/>
      <c r="B45" s="53" t="n"/>
      <c r="C45" s="53" t="n"/>
      <c r="D45" s="53" t="n"/>
      <c r="E45" s="53" t="n"/>
      <c r="F45" s="53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4" t="n"/>
      <c r="X45" s="54" t="n"/>
      <c r="Y45" s="54" t="n"/>
      <c r="Z45" s="27">
        <f>IF(A45="","",IF(X45&lt;&gt;1,"A数量必须=1",IF(Y45&lt;1,"至少需要1个R","OK")))</f>
        <v/>
      </c>
      <c r="AA45" s="53" t="n"/>
      <c r="AB45" s="96" t="n"/>
      <c r="AC45" s="56" t="n"/>
    </row>
    <row r="46" ht="42" customHeight="1">
      <c r="A46" s="47" t="n"/>
      <c r="B46" s="48" t="n"/>
      <c r="C46" s="48" t="n"/>
      <c r="D46" s="48" t="n"/>
      <c r="E46" s="48" t="n"/>
      <c r="F46" s="48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57" t="n"/>
      <c r="X46" s="57" t="n"/>
      <c r="Y46" s="57" t="n"/>
      <c r="Z46" s="58">
        <f>IF(A46="","",IF(X46&lt;&gt;1,"A数量必须=1",IF(Y46&lt;1,"至少需要1个R","OK")))</f>
        <v/>
      </c>
      <c r="AA46" s="48" t="n"/>
      <c r="AB46" s="97" t="n"/>
      <c r="AC46" s="60" t="n"/>
    </row>
    <row r="47" ht="42" customHeight="1">
      <c r="A47" s="52" t="n"/>
      <c r="B47" s="53" t="n"/>
      <c r="C47" s="53" t="n"/>
      <c r="D47" s="53" t="n"/>
      <c r="E47" s="53" t="n"/>
      <c r="F47" s="53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4" t="n"/>
      <c r="X47" s="54" t="n"/>
      <c r="Y47" s="54" t="n"/>
      <c r="Z47" s="27">
        <f>IF(A47="","",IF(X47&lt;&gt;1,"A数量必须=1",IF(Y47&lt;1,"至少需要1个R","OK")))</f>
        <v/>
      </c>
      <c r="AA47" s="53" t="n"/>
      <c r="AB47" s="96" t="n"/>
      <c r="AC47" s="56" t="n"/>
    </row>
    <row r="48" ht="42" customHeight="1">
      <c r="A48" s="47" t="n"/>
      <c r="B48" s="48" t="n"/>
      <c r="C48" s="48" t="n"/>
      <c r="D48" s="48" t="n"/>
      <c r="E48" s="48" t="n"/>
      <c r="F48" s="48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57" t="n"/>
      <c r="X48" s="57" t="n"/>
      <c r="Y48" s="57" t="n"/>
      <c r="Z48" s="58">
        <f>IF(A48="","",IF(X48&lt;&gt;1,"A数量必须=1",IF(Y48&lt;1,"至少需要1个R","OK")))</f>
        <v/>
      </c>
      <c r="AA48" s="48" t="n"/>
      <c r="AB48" s="97" t="n"/>
      <c r="AC48" s="60" t="n"/>
    </row>
    <row r="49" ht="42" customHeight="1">
      <c r="A49" s="52" t="n"/>
      <c r="B49" s="53" t="n"/>
      <c r="C49" s="53" t="n"/>
      <c r="D49" s="53" t="n"/>
      <c r="E49" s="53" t="n"/>
      <c r="F49" s="53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4" t="n"/>
      <c r="X49" s="54" t="n"/>
      <c r="Y49" s="54" t="n"/>
      <c r="Z49" s="27">
        <f>IF(A49="","",IF(X49&lt;&gt;1,"A数量必须=1",IF(Y49&lt;1,"至少需要1个R","OK")))</f>
        <v/>
      </c>
      <c r="AA49" s="53" t="n"/>
      <c r="AB49" s="96" t="n"/>
      <c r="AC49" s="56" t="n"/>
    </row>
    <row r="50" ht="42" customHeight="1">
      <c r="A50" s="47" t="n"/>
      <c r="B50" s="48" t="n"/>
      <c r="C50" s="48" t="n"/>
      <c r="D50" s="48" t="n"/>
      <c r="E50" s="48" t="n"/>
      <c r="F50" s="48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57" t="n"/>
      <c r="X50" s="57" t="n"/>
      <c r="Y50" s="57" t="n"/>
      <c r="Z50" s="58">
        <f>IF(A50="","",IF(X50&lt;&gt;1,"A数量必须=1",IF(Y50&lt;1,"至少需要1个R","OK")))</f>
        <v/>
      </c>
      <c r="AA50" s="48" t="n"/>
      <c r="AB50" s="97" t="n"/>
      <c r="AC50" s="60" t="n"/>
    </row>
    <row r="51" ht="42" customHeight="1">
      <c r="A51" s="52" t="n"/>
      <c r="B51" s="53" t="n"/>
      <c r="C51" s="53" t="n"/>
      <c r="D51" s="53" t="n"/>
      <c r="E51" s="53" t="n"/>
      <c r="F51" s="53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4" t="n"/>
      <c r="X51" s="54" t="n"/>
      <c r="Y51" s="54" t="n"/>
      <c r="Z51" s="27">
        <f>IF(A51="","",IF(X51&lt;&gt;1,"A数量必须=1",IF(Y51&lt;1,"至少需要1个R","OK")))</f>
        <v/>
      </c>
      <c r="AA51" s="53" t="n"/>
      <c r="AB51" s="96" t="n"/>
      <c r="AC51" s="56" t="n"/>
    </row>
    <row r="52" ht="42" customHeight="1">
      <c r="A52" s="47" t="n"/>
      <c r="B52" s="48" t="n"/>
      <c r="C52" s="48" t="n"/>
      <c r="D52" s="48" t="n"/>
      <c r="E52" s="48" t="n"/>
      <c r="F52" s="48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57" t="n"/>
      <c r="X52" s="57" t="n"/>
      <c r="Y52" s="57" t="n"/>
      <c r="Z52" s="58">
        <f>IF(A52="","",IF(X52&lt;&gt;1,"A数量必须=1",IF(Y52&lt;1,"至少需要1个R","OK")))</f>
        <v/>
      </c>
      <c r="AA52" s="48" t="n"/>
      <c r="AB52" s="97" t="n"/>
      <c r="AC52" s="60" t="n"/>
    </row>
    <row r="53" ht="42" customHeight="1">
      <c r="A53" s="52" t="n"/>
      <c r="B53" s="53" t="n"/>
      <c r="C53" s="53" t="n"/>
      <c r="D53" s="53" t="n"/>
      <c r="E53" s="53" t="n"/>
      <c r="F53" s="53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4" t="n"/>
      <c r="X53" s="54" t="n"/>
      <c r="Y53" s="54" t="n"/>
      <c r="Z53" s="27">
        <f>IF(A53="","",IF(X53&lt;&gt;1,"A数量必须=1",IF(Y53&lt;1,"至少需要1个R","OK")))</f>
        <v/>
      </c>
      <c r="AA53" s="53" t="n"/>
      <c r="AB53" s="96" t="n"/>
      <c r="AC53" s="56" t="n"/>
    </row>
    <row r="54" ht="42" customHeight="1">
      <c r="A54" s="47" t="n"/>
      <c r="B54" s="48" t="n"/>
      <c r="C54" s="48" t="n"/>
      <c r="D54" s="48" t="n"/>
      <c r="E54" s="48" t="n"/>
      <c r="F54" s="48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57" t="n"/>
      <c r="X54" s="57" t="n"/>
      <c r="Y54" s="57" t="n"/>
      <c r="Z54" s="58">
        <f>IF(A54="","",IF(X54&lt;&gt;1,"A数量必须=1",IF(Y54&lt;1,"至少需要1个R","OK")))</f>
        <v/>
      </c>
      <c r="AA54" s="48" t="n"/>
      <c r="AB54" s="97" t="n"/>
      <c r="AC54" s="60" t="n"/>
    </row>
    <row r="55" ht="42" customHeight="1">
      <c r="A55" s="52" t="n"/>
      <c r="B55" s="53" t="n"/>
      <c r="C55" s="53" t="n"/>
      <c r="D55" s="53" t="n"/>
      <c r="E55" s="53" t="n"/>
      <c r="F55" s="53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4" t="n"/>
      <c r="X55" s="54" t="n"/>
      <c r="Y55" s="54" t="n"/>
      <c r="Z55" s="27">
        <f>IF(A55="","",IF(X55&lt;&gt;1,"A数量必须=1",IF(Y55&lt;1,"至少需要1个R","OK")))</f>
        <v/>
      </c>
      <c r="AA55" s="53" t="n"/>
      <c r="AB55" s="96" t="n"/>
      <c r="AC55" s="56" t="n"/>
    </row>
    <row r="56" ht="42" customHeight="1">
      <c r="A56" s="47" t="n"/>
      <c r="B56" s="48" t="n"/>
      <c r="C56" s="48" t="n"/>
      <c r="D56" s="48" t="n"/>
      <c r="E56" s="48" t="n"/>
      <c r="F56" s="48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57" t="n"/>
      <c r="X56" s="57" t="n"/>
      <c r="Y56" s="57" t="n"/>
      <c r="Z56" s="58">
        <f>IF(A56="","",IF(X56&lt;&gt;1,"A数量必须=1",IF(Y56&lt;1,"至少需要1个R","OK")))</f>
        <v/>
      </c>
      <c r="AA56" s="48" t="n"/>
      <c r="AB56" s="97" t="n"/>
      <c r="AC56" s="60" t="n"/>
    </row>
    <row r="57" ht="42" customHeight="1">
      <c r="A57" s="52" t="n"/>
      <c r="B57" s="53" t="n"/>
      <c r="C57" s="53" t="n"/>
      <c r="D57" s="53" t="n"/>
      <c r="E57" s="53" t="n"/>
      <c r="F57" s="53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4" t="n"/>
      <c r="X57" s="54" t="n"/>
      <c r="Y57" s="54" t="n"/>
      <c r="Z57" s="27">
        <f>IF(A57="","",IF(X57&lt;&gt;1,"A数量必须=1",IF(Y57&lt;1,"至少需要1个R","OK")))</f>
        <v/>
      </c>
      <c r="AA57" s="53" t="n"/>
      <c r="AB57" s="96" t="n"/>
      <c r="AC57" s="56" t="n"/>
    </row>
    <row r="58" ht="42" customHeight="1">
      <c r="A58" s="47" t="n"/>
      <c r="B58" s="48" t="n"/>
      <c r="C58" s="48" t="n"/>
      <c r="D58" s="48" t="n"/>
      <c r="E58" s="48" t="n"/>
      <c r="F58" s="48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57" t="n"/>
      <c r="X58" s="57" t="n"/>
      <c r="Y58" s="57" t="n"/>
      <c r="Z58" s="58">
        <f>IF(A58="","",IF(X58&lt;&gt;1,"A数量必须=1",IF(Y58&lt;1,"至少需要1个R","OK")))</f>
        <v/>
      </c>
      <c r="AA58" s="48" t="n"/>
      <c r="AB58" s="97" t="n"/>
      <c r="AC58" s="60" t="n"/>
    </row>
    <row r="59" ht="42" customHeight="1">
      <c r="A59" s="52" t="n"/>
      <c r="B59" s="53" t="n"/>
      <c r="C59" s="53" t="n"/>
      <c r="D59" s="53" t="n"/>
      <c r="E59" s="53" t="n"/>
      <c r="F59" s="53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4" t="n"/>
      <c r="X59" s="54" t="n"/>
      <c r="Y59" s="54" t="n"/>
      <c r="Z59" s="27">
        <f>IF(A59="","",IF(X59&lt;&gt;1,"A数量必须=1",IF(Y59&lt;1,"至少需要1个R","OK")))</f>
        <v/>
      </c>
      <c r="AA59" s="53" t="n"/>
      <c r="AB59" s="96" t="n"/>
      <c r="AC59" s="56" t="n"/>
    </row>
    <row r="60" ht="42" customHeight="1">
      <c r="A60" s="47" t="n"/>
      <c r="B60" s="48" t="n"/>
      <c r="C60" s="48" t="n"/>
      <c r="D60" s="48" t="n"/>
      <c r="E60" s="48" t="n"/>
      <c r="F60" s="48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57" t="n"/>
      <c r="X60" s="57" t="n"/>
      <c r="Y60" s="57" t="n"/>
      <c r="Z60" s="58">
        <f>IF(A60="","",IF(X60&lt;&gt;1,"A数量必须=1",IF(Y60&lt;1,"至少需要1个R","OK")))</f>
        <v/>
      </c>
      <c r="AA60" s="48" t="n"/>
      <c r="AB60" s="97" t="n"/>
      <c r="AC60" s="60" t="n"/>
    </row>
    <row r="61" ht="42" customHeight="1">
      <c r="A61" s="52" t="n"/>
      <c r="B61" s="53" t="n"/>
      <c r="C61" s="53" t="n"/>
      <c r="D61" s="53" t="n"/>
      <c r="E61" s="53" t="n"/>
      <c r="F61" s="53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4" t="n"/>
      <c r="X61" s="54" t="n"/>
      <c r="Y61" s="54" t="n"/>
      <c r="Z61" s="27">
        <f>IF(A61="","",IF(X61&lt;&gt;1,"A数量必须=1",IF(Y61&lt;1,"至少需要1个R","OK")))</f>
        <v/>
      </c>
      <c r="AA61" s="53" t="n"/>
      <c r="AB61" s="96" t="n"/>
      <c r="AC61" s="56" t="n"/>
    </row>
    <row r="62" ht="42" customHeight="1">
      <c r="A62" s="47" t="n"/>
      <c r="B62" s="48" t="n"/>
      <c r="C62" s="48" t="n"/>
      <c r="D62" s="48" t="n"/>
      <c r="E62" s="48" t="n"/>
      <c r="F62" s="48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57" t="n"/>
      <c r="X62" s="57" t="n"/>
      <c r="Y62" s="57" t="n"/>
      <c r="Z62" s="58">
        <f>IF(A62="","",IF(X62&lt;&gt;1,"A数量必须=1",IF(Y62&lt;1,"至少需要1个R","OK")))</f>
        <v/>
      </c>
      <c r="AA62" s="48" t="n"/>
      <c r="AB62" s="97" t="n"/>
      <c r="AC62" s="60" t="n"/>
    </row>
    <row r="63" ht="42" customHeight="1">
      <c r="A63" s="52" t="n"/>
      <c r="B63" s="53" t="n"/>
      <c r="C63" s="53" t="n"/>
      <c r="D63" s="53" t="n"/>
      <c r="E63" s="53" t="n"/>
      <c r="F63" s="53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4" t="n"/>
      <c r="X63" s="54" t="n"/>
      <c r="Y63" s="54" t="n"/>
      <c r="Z63" s="27">
        <f>IF(A63="","",IF(X63&lt;&gt;1,"A数量必须=1",IF(Y63&lt;1,"至少需要1个R","OK")))</f>
        <v/>
      </c>
      <c r="AA63" s="53" t="n"/>
      <c r="AB63" s="96" t="n"/>
      <c r="AC63" s="56" t="n"/>
    </row>
    <row r="64" ht="42" customHeight="1">
      <c r="A64" s="47" t="n"/>
      <c r="B64" s="48" t="n"/>
      <c r="C64" s="48" t="n"/>
      <c r="D64" s="48" t="n"/>
      <c r="E64" s="48" t="n"/>
      <c r="F64" s="48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57" t="n"/>
      <c r="X64" s="57" t="n"/>
      <c r="Y64" s="57" t="n"/>
      <c r="Z64" s="58">
        <f>IF(A64="","",IF(X64&lt;&gt;1,"A数量必须=1",IF(Y64&lt;1,"至少需要1个R","OK")))</f>
        <v/>
      </c>
      <c r="AA64" s="48" t="n"/>
      <c r="AB64" s="97" t="n"/>
      <c r="AC64" s="60" t="n"/>
    </row>
    <row r="65" ht="42" customHeight="1">
      <c r="A65" s="52" t="n"/>
      <c r="B65" s="53" t="n"/>
      <c r="C65" s="53" t="n"/>
      <c r="D65" s="53" t="n"/>
      <c r="E65" s="53" t="n"/>
      <c r="F65" s="53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4" t="n"/>
      <c r="X65" s="54" t="n"/>
      <c r="Y65" s="54" t="n"/>
      <c r="Z65" s="27">
        <f>IF(A65="","",IF(X65&lt;&gt;1,"A数量必须=1",IF(Y65&lt;1,"至少需要1个R","OK")))</f>
        <v/>
      </c>
      <c r="AA65" s="53" t="n"/>
      <c r="AB65" s="96" t="n"/>
      <c r="AC65" s="56" t="n"/>
    </row>
    <row r="66" ht="42" customHeight="1">
      <c r="A66" s="47" t="n"/>
      <c r="B66" s="48" t="n"/>
      <c r="C66" s="48" t="n"/>
      <c r="D66" s="48" t="n"/>
      <c r="E66" s="48" t="n"/>
      <c r="F66" s="48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  <c r="W66" s="57" t="n"/>
      <c r="X66" s="57" t="n"/>
      <c r="Y66" s="57" t="n"/>
      <c r="Z66" s="58">
        <f>IF(A66="","",IF(X66&lt;&gt;1,"A数量必须=1",IF(Y66&lt;1,"至少需要1个R","OK")))</f>
        <v/>
      </c>
      <c r="AA66" s="48" t="n"/>
      <c r="AB66" s="97" t="n"/>
      <c r="AC66" s="60" t="n"/>
    </row>
    <row r="67" ht="42" customHeight="1">
      <c r="A67" s="52" t="n"/>
      <c r="B67" s="53" t="n"/>
      <c r="C67" s="53" t="n"/>
      <c r="D67" s="53" t="n"/>
      <c r="E67" s="53" t="n"/>
      <c r="F67" s="53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4" t="n"/>
      <c r="X67" s="54" t="n"/>
      <c r="Y67" s="54" t="n"/>
      <c r="Z67" s="27">
        <f>IF(A67="","",IF(X67&lt;&gt;1,"A数量必须=1",IF(Y67&lt;1,"至少需要1个R","OK")))</f>
        <v/>
      </c>
      <c r="AA67" s="53" t="n"/>
      <c r="AB67" s="96" t="n"/>
      <c r="AC67" s="56" t="n"/>
    </row>
    <row r="68" ht="42" customHeight="1">
      <c r="A68" s="47" t="n"/>
      <c r="B68" s="48" t="n"/>
      <c r="C68" s="48" t="n"/>
      <c r="D68" s="48" t="n"/>
      <c r="E68" s="48" t="n"/>
      <c r="F68" s="48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  <c r="W68" s="57" t="n"/>
      <c r="X68" s="57" t="n"/>
      <c r="Y68" s="57" t="n"/>
      <c r="Z68" s="58">
        <f>IF(A68="","",IF(X68&lt;&gt;1,"A数量必须=1",IF(Y68&lt;1,"至少需要1个R","OK")))</f>
        <v/>
      </c>
      <c r="AA68" s="48" t="n"/>
      <c r="AB68" s="97" t="n"/>
      <c r="AC68" s="60" t="n"/>
    </row>
    <row r="69" ht="42" customHeight="1">
      <c r="A69" s="52" t="n"/>
      <c r="B69" s="53" t="n"/>
      <c r="C69" s="53" t="n"/>
      <c r="D69" s="53" t="n"/>
      <c r="E69" s="53" t="n"/>
      <c r="F69" s="53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4" t="n"/>
      <c r="X69" s="54" t="n"/>
      <c r="Y69" s="54" t="n"/>
      <c r="Z69" s="27">
        <f>IF(A69="","",IF(X69&lt;&gt;1,"A数量必须=1",IF(Y69&lt;1,"至少需要1个R","OK")))</f>
        <v/>
      </c>
      <c r="AA69" s="53" t="n"/>
      <c r="AB69" s="96" t="n"/>
      <c r="AC69" s="56" t="n"/>
    </row>
    <row r="70" ht="42" customHeight="1">
      <c r="A70" s="47" t="n"/>
      <c r="B70" s="48" t="n"/>
      <c r="C70" s="48" t="n"/>
      <c r="D70" s="48" t="n"/>
      <c r="E70" s="48" t="n"/>
      <c r="F70" s="48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  <c r="W70" s="57" t="n"/>
      <c r="X70" s="57" t="n"/>
      <c r="Y70" s="57" t="n"/>
      <c r="Z70" s="58">
        <f>IF(A70="","",IF(X70&lt;&gt;1,"A数量必须=1",IF(Y70&lt;1,"至少需要1个R","OK")))</f>
        <v/>
      </c>
      <c r="AA70" s="48" t="n"/>
      <c r="AB70" s="97" t="n"/>
      <c r="AC70" s="60" t="n"/>
    </row>
    <row r="71" ht="42" customHeight="1">
      <c r="A71" s="52" t="n"/>
      <c r="B71" s="53" t="n"/>
      <c r="C71" s="53" t="n"/>
      <c r="D71" s="53" t="n"/>
      <c r="E71" s="53" t="n"/>
      <c r="F71" s="53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4" t="n"/>
      <c r="X71" s="54" t="n"/>
      <c r="Y71" s="54" t="n"/>
      <c r="Z71" s="27">
        <f>IF(A71="","",IF(X71&lt;&gt;1,"A数量必须=1",IF(Y71&lt;1,"至少需要1个R","OK")))</f>
        <v/>
      </c>
      <c r="AA71" s="53" t="n"/>
      <c r="AB71" s="96" t="n"/>
      <c r="AC71" s="56" t="n"/>
    </row>
    <row r="72" ht="42" customHeight="1">
      <c r="A72" s="47" t="n"/>
      <c r="B72" s="48" t="n"/>
      <c r="C72" s="48" t="n"/>
      <c r="D72" s="48" t="n"/>
      <c r="E72" s="48" t="n"/>
      <c r="F72" s="48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  <c r="W72" s="57" t="n"/>
      <c r="X72" s="57" t="n"/>
      <c r="Y72" s="57" t="n"/>
      <c r="Z72" s="58">
        <f>IF(A72="","",IF(X72&lt;&gt;1,"A数量必须=1",IF(Y72&lt;1,"至少需要1个R","OK")))</f>
        <v/>
      </c>
      <c r="AA72" s="48" t="n"/>
      <c r="AB72" s="97" t="n"/>
      <c r="AC72" s="60" t="n"/>
    </row>
    <row r="73" ht="42" customHeight="1">
      <c r="A73" s="52" t="n"/>
      <c r="B73" s="53" t="n"/>
      <c r="C73" s="53" t="n"/>
      <c r="D73" s="53" t="n"/>
      <c r="E73" s="53" t="n"/>
      <c r="F73" s="53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4" t="n"/>
      <c r="X73" s="54" t="n"/>
      <c r="Y73" s="54" t="n"/>
      <c r="Z73" s="27">
        <f>IF(A73="","",IF(X73&lt;&gt;1,"A数量必须=1",IF(Y73&lt;1,"至少需要1个R","OK")))</f>
        <v/>
      </c>
      <c r="AA73" s="53" t="n"/>
      <c r="AB73" s="96" t="n"/>
      <c r="AC73" s="56" t="n"/>
    </row>
    <row r="74" ht="42" customHeight="1">
      <c r="A74" s="47" t="n"/>
      <c r="B74" s="48" t="n"/>
      <c r="C74" s="48" t="n"/>
      <c r="D74" s="48" t="n"/>
      <c r="E74" s="48" t="n"/>
      <c r="F74" s="48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  <c r="W74" s="57" t="n"/>
      <c r="X74" s="57" t="n"/>
      <c r="Y74" s="57" t="n"/>
      <c r="Z74" s="58">
        <f>IF(A74="","",IF(X74&lt;&gt;1,"A数量必须=1",IF(Y74&lt;1,"至少需要1个R","OK")))</f>
        <v/>
      </c>
      <c r="AA74" s="48" t="n"/>
      <c r="AB74" s="97" t="n"/>
      <c r="AC74" s="60" t="n"/>
    </row>
    <row r="75" ht="42" customHeight="1">
      <c r="A75" s="52" t="n"/>
      <c r="B75" s="53" t="n"/>
      <c r="C75" s="53" t="n"/>
      <c r="D75" s="53" t="n"/>
      <c r="E75" s="53" t="n"/>
      <c r="F75" s="53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4" t="n"/>
      <c r="X75" s="54" t="n"/>
      <c r="Y75" s="54" t="n"/>
      <c r="Z75" s="27">
        <f>IF(A75="","",IF(X75&lt;&gt;1,"A数量必须=1",IF(Y75&lt;1,"至少需要1个R","OK")))</f>
        <v/>
      </c>
      <c r="AA75" s="53" t="n"/>
      <c r="AB75" s="96" t="n"/>
      <c r="AC75" s="56" t="n"/>
    </row>
    <row r="76" ht="42" customHeight="1">
      <c r="A76" s="47" t="n"/>
      <c r="B76" s="48" t="n"/>
      <c r="C76" s="48" t="n"/>
      <c r="D76" s="48" t="n"/>
      <c r="E76" s="48" t="n"/>
      <c r="F76" s="48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  <c r="W76" s="57" t="n"/>
      <c r="X76" s="57" t="n"/>
      <c r="Y76" s="57" t="n"/>
      <c r="Z76" s="58">
        <f>IF(A76="","",IF(X76&lt;&gt;1,"A数量必须=1",IF(Y76&lt;1,"至少需要1个R","OK")))</f>
        <v/>
      </c>
      <c r="AA76" s="48" t="n"/>
      <c r="AB76" s="97" t="n"/>
      <c r="AC76" s="60" t="n"/>
    </row>
    <row r="77" ht="42" customHeight="1">
      <c r="A77" s="52" t="n"/>
      <c r="B77" s="53" t="n"/>
      <c r="C77" s="53" t="n"/>
      <c r="D77" s="53" t="n"/>
      <c r="E77" s="53" t="n"/>
      <c r="F77" s="53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4" t="n"/>
      <c r="X77" s="54" t="n"/>
      <c r="Y77" s="54" t="n"/>
      <c r="Z77" s="27">
        <f>IF(A77="","",IF(X77&lt;&gt;1,"A数量必须=1",IF(Y77&lt;1,"至少需要1个R","OK")))</f>
        <v/>
      </c>
      <c r="AA77" s="53" t="n"/>
      <c r="AB77" s="96" t="n"/>
      <c r="AC77" s="56" t="n"/>
    </row>
    <row r="78" ht="42" customHeight="1">
      <c r="A78" s="47" t="n"/>
      <c r="B78" s="48" t="n"/>
      <c r="C78" s="48" t="n"/>
      <c r="D78" s="48" t="n"/>
      <c r="E78" s="48" t="n"/>
      <c r="F78" s="48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  <c r="W78" s="57" t="n"/>
      <c r="X78" s="57" t="n"/>
      <c r="Y78" s="57" t="n"/>
      <c r="Z78" s="58">
        <f>IF(A78="","",IF(X78&lt;&gt;1,"A数量必须=1",IF(Y78&lt;1,"至少需要1个R","OK")))</f>
        <v/>
      </c>
      <c r="AA78" s="48" t="n"/>
      <c r="AB78" s="97" t="n"/>
      <c r="AC78" s="60" t="n"/>
    </row>
    <row r="79" ht="42" customHeight="1">
      <c r="A79" s="52" t="n"/>
      <c r="B79" s="53" t="n"/>
      <c r="C79" s="53" t="n"/>
      <c r="D79" s="53" t="n"/>
      <c r="E79" s="53" t="n"/>
      <c r="F79" s="53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4" t="n"/>
      <c r="X79" s="54" t="n"/>
      <c r="Y79" s="54" t="n"/>
      <c r="Z79" s="27">
        <f>IF(A79="","",IF(X79&lt;&gt;1,"A数量必须=1",IF(Y79&lt;1,"至少需要1个R","OK")))</f>
        <v/>
      </c>
      <c r="AA79" s="53" t="n"/>
      <c r="AB79" s="96" t="n"/>
      <c r="AC79" s="56" t="n"/>
    </row>
    <row r="80" ht="42" customHeight="1">
      <c r="A80" s="47" t="n"/>
      <c r="B80" s="48" t="n"/>
      <c r="C80" s="48" t="n"/>
      <c r="D80" s="48" t="n"/>
      <c r="E80" s="48" t="n"/>
      <c r="F80" s="48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  <c r="Q80" s="47" t="n"/>
      <c r="R80" s="47" t="n"/>
      <c r="S80" s="47" t="n"/>
      <c r="T80" s="47" t="n"/>
      <c r="U80" s="47" t="n"/>
      <c r="V80" s="47" t="n"/>
      <c r="W80" s="57" t="n"/>
      <c r="X80" s="57" t="n"/>
      <c r="Y80" s="57" t="n"/>
      <c r="Z80" s="58">
        <f>IF(A80="","",IF(X80&lt;&gt;1,"A数量必须=1",IF(Y80&lt;1,"至少需要1个R","OK")))</f>
        <v/>
      </c>
      <c r="AA80" s="48" t="n"/>
      <c r="AB80" s="97" t="n"/>
      <c r="AC80" s="60" t="n"/>
    </row>
    <row r="81" ht="42" customHeight="1">
      <c r="A81" s="52" t="n"/>
      <c r="B81" s="53" t="n"/>
      <c r="C81" s="53" t="n"/>
      <c r="D81" s="53" t="n"/>
      <c r="E81" s="53" t="n"/>
      <c r="F81" s="53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4" t="n"/>
      <c r="X81" s="54" t="n"/>
      <c r="Y81" s="54" t="n"/>
      <c r="Z81" s="27">
        <f>IF(A81="","",IF(X81&lt;&gt;1,"A数量必须=1",IF(Y81&lt;1,"至少需要1个R","OK")))</f>
        <v/>
      </c>
      <c r="AA81" s="53" t="n"/>
      <c r="AB81" s="96" t="n"/>
      <c r="AC81" s="56" t="n"/>
    </row>
    <row r="82" ht="42" customHeight="1">
      <c r="A82" s="47" t="n"/>
      <c r="B82" s="48" t="n"/>
      <c r="C82" s="48" t="n"/>
      <c r="D82" s="48" t="n"/>
      <c r="E82" s="48" t="n"/>
      <c r="F82" s="48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  <c r="Q82" s="47" t="n"/>
      <c r="R82" s="47" t="n"/>
      <c r="S82" s="47" t="n"/>
      <c r="T82" s="47" t="n"/>
      <c r="U82" s="47" t="n"/>
      <c r="V82" s="47" t="n"/>
      <c r="W82" s="57" t="n"/>
      <c r="X82" s="57" t="n"/>
      <c r="Y82" s="57" t="n"/>
      <c r="Z82" s="58">
        <f>IF(A82="","",IF(X82&lt;&gt;1,"A数量必须=1",IF(Y82&lt;1,"至少需要1个R","OK")))</f>
        <v/>
      </c>
      <c r="AA82" s="48" t="n"/>
      <c r="AB82" s="97" t="n"/>
      <c r="AC82" s="60" t="n"/>
    </row>
    <row r="83" ht="42" customHeight="1">
      <c r="A83" s="52" t="n"/>
      <c r="B83" s="53" t="n"/>
      <c r="C83" s="53" t="n"/>
      <c r="D83" s="53" t="n"/>
      <c r="E83" s="53" t="n"/>
      <c r="F83" s="53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4" t="n"/>
      <c r="X83" s="54" t="n"/>
      <c r="Y83" s="54" t="n"/>
      <c r="Z83" s="27">
        <f>IF(A83="","",IF(X83&lt;&gt;1,"A数量必须=1",IF(Y83&lt;1,"至少需要1个R","OK")))</f>
        <v/>
      </c>
      <c r="AA83" s="53" t="n"/>
      <c r="AB83" s="96" t="n"/>
      <c r="AC83" s="56" t="n"/>
    </row>
    <row r="84" ht="42" customHeight="1">
      <c r="A84" s="47" t="n"/>
      <c r="B84" s="48" t="n"/>
      <c r="C84" s="48" t="n"/>
      <c r="D84" s="48" t="n"/>
      <c r="E84" s="48" t="n"/>
      <c r="F84" s="48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  <c r="Q84" s="47" t="n"/>
      <c r="R84" s="47" t="n"/>
      <c r="S84" s="47" t="n"/>
      <c r="T84" s="47" t="n"/>
      <c r="U84" s="47" t="n"/>
      <c r="V84" s="47" t="n"/>
      <c r="W84" s="57" t="n"/>
      <c r="X84" s="57" t="n"/>
      <c r="Y84" s="57" t="n"/>
      <c r="Z84" s="58">
        <f>IF(A84="","",IF(X84&lt;&gt;1,"A数量必须=1",IF(Y84&lt;1,"至少需要1个R","OK")))</f>
        <v/>
      </c>
      <c r="AA84" s="48" t="n"/>
      <c r="AB84" s="97" t="n"/>
      <c r="AC84" s="60" t="n"/>
    </row>
    <row r="85" ht="42" customHeight="1">
      <c r="A85" s="52" t="n"/>
      <c r="B85" s="53" t="n"/>
      <c r="C85" s="53" t="n"/>
      <c r="D85" s="53" t="n"/>
      <c r="E85" s="53" t="n"/>
      <c r="F85" s="53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4" t="n"/>
      <c r="X85" s="54" t="n"/>
      <c r="Y85" s="54" t="n"/>
      <c r="Z85" s="27">
        <f>IF(A85="","",IF(X85&lt;&gt;1,"A数量必须=1",IF(Y85&lt;1,"至少需要1个R","OK")))</f>
        <v/>
      </c>
      <c r="AA85" s="53" t="n"/>
      <c r="AB85" s="96" t="n"/>
      <c r="AC85" s="56" t="n"/>
    </row>
    <row r="86" ht="42" customHeight="1">
      <c r="A86" s="47" t="n"/>
      <c r="B86" s="48" t="n"/>
      <c r="C86" s="48" t="n"/>
      <c r="D86" s="48" t="n"/>
      <c r="E86" s="48" t="n"/>
      <c r="F86" s="48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  <c r="Q86" s="47" t="n"/>
      <c r="R86" s="47" t="n"/>
      <c r="S86" s="47" t="n"/>
      <c r="T86" s="47" t="n"/>
      <c r="U86" s="47" t="n"/>
      <c r="V86" s="47" t="n"/>
      <c r="W86" s="57" t="n"/>
      <c r="X86" s="57" t="n"/>
      <c r="Y86" s="57" t="n"/>
      <c r="Z86" s="58">
        <f>IF(A86="","",IF(X86&lt;&gt;1,"A数量必须=1",IF(Y86&lt;1,"至少需要1个R","OK")))</f>
        <v/>
      </c>
      <c r="AA86" s="48" t="n"/>
      <c r="AB86" s="97" t="n"/>
      <c r="AC86" s="60" t="n"/>
    </row>
  </sheetData>
  <autoFilter ref="A4:AC86"/>
  <mergeCells count="8">
    <mergeCell ref="A1:G1"/>
    <mergeCell ref="H2:N2"/>
    <mergeCell ref="V2:AC2"/>
    <mergeCell ref="V1:AC1"/>
    <mergeCell ref="O2:U2"/>
    <mergeCell ref="A2:G2"/>
    <mergeCell ref="O1:U1"/>
    <mergeCell ref="H1:N1"/>
  </mergeCells>
  <conditionalFormatting sqref="S12">
    <cfRule type="expression" priority="27" dxfId="0">
      <formula>S12="A"</formula>
    </cfRule>
    <cfRule type="expression" priority="28" dxfId="1">
      <formula>S12="R"</formula>
    </cfRule>
    <cfRule type="expression" priority="29" dxfId="2">
      <formula>S12="C"</formula>
    </cfRule>
    <cfRule type="expression" priority="30" dxfId="3">
      <formula>S12="I"</formula>
    </cfRule>
  </conditionalFormatting>
  <conditionalFormatting sqref="Z12">
    <cfRule type="expression" priority="39" dxfId="4">
      <formula>Z12="OK"</formula>
    </cfRule>
    <cfRule type="expression" priority="40" dxfId="0">
      <formula>AND(Z12&lt;&gt;"",Z12&lt;&gt;"OK")</formula>
    </cfRule>
  </conditionalFormatting>
  <conditionalFormatting sqref="S15">
    <cfRule type="expression" priority="9" dxfId="0">
      <formula>S15="A"</formula>
    </cfRule>
    <cfRule type="expression" priority="10" dxfId="1">
      <formula>S15="R"</formula>
    </cfRule>
    <cfRule type="expression" priority="11" dxfId="2">
      <formula>S15="C"</formula>
    </cfRule>
    <cfRule type="expression" priority="12" dxfId="3">
      <formula>S15="I"</formula>
    </cfRule>
  </conditionalFormatting>
  <conditionalFormatting sqref="Z15">
    <cfRule type="expression" priority="17" dxfId="4">
      <formula>Z15="OK"</formula>
    </cfRule>
    <cfRule type="expression" priority="18" dxfId="0">
      <formula>AND(Z15&lt;&gt;"",Z15&lt;&gt;"OK")</formula>
    </cfRule>
  </conditionalFormatting>
  <conditionalFormatting sqref="W29">
    <cfRule type="expression" priority="4" dxfId="3">
      <formula>W29="I"</formula>
    </cfRule>
    <cfRule type="expression" priority="3" dxfId="2">
      <formula>W29="C"</formula>
    </cfRule>
    <cfRule type="expression" priority="2" dxfId="1">
      <formula>W29="R"</formula>
    </cfRule>
    <cfRule type="expression" priority="1" dxfId="0">
      <formula>W29="A"</formula>
    </cfRule>
  </conditionalFormatting>
  <conditionalFormatting sqref="G5:R5 G6:R6 G7:R7 G8:R8 G9:R9 G10:R10 G11:R11 G13:R13 G14:R14 G16:R16 G17:R17 G18:R18 G19:R20 G21:R22 G23:R24 G25:R25 G26:R27 G28:R28 G29:V29 G30:W86 T5:W5 T6:W6 T7:W7 T8:W8 T9:W9 T10:W10 T11:W11 T13:W13 T14:W14 T16:W16 T17:W17 T18:W18 T19:W20 T21:W22 T23:W24 T25:W25 T26:W27 T28:V28 W12 W15">
    <cfRule type="expression" priority="41" dxfId="0">
      <formula>G5="A"</formula>
    </cfRule>
    <cfRule type="expression" priority="42" dxfId="1">
      <formula>G5="R"</formula>
    </cfRule>
    <cfRule type="expression" priority="43" dxfId="2">
      <formula>G5="C"</formula>
    </cfRule>
    <cfRule type="expression" priority="44" dxfId="3">
      <formula>G5="I"</formula>
    </cfRule>
  </conditionalFormatting>
  <conditionalFormatting sqref="S5:S11 S13:S14 S16:S28">
    <cfRule type="expression" priority="31" dxfId="0">
      <formula>S5="A"</formula>
    </cfRule>
    <cfRule type="expression" priority="32" dxfId="1">
      <formula>S5="R"</formula>
    </cfRule>
    <cfRule type="expression" priority="33" dxfId="2">
      <formula>S5="C"</formula>
    </cfRule>
    <cfRule type="expression" priority="34" dxfId="3">
      <formula>S5="I"</formula>
    </cfRule>
  </conditionalFormatting>
  <conditionalFormatting sqref="Z5:Z11 Z13:Z14 Z16:Z86">
    <cfRule type="expression" priority="45" dxfId="4">
      <formula>Z5="OK"</formula>
    </cfRule>
    <cfRule type="expression" priority="46" dxfId="0">
      <formula>AND(Z5&lt;&gt;"",Z5&lt;&gt;"OK")</formula>
    </cfRule>
  </conditionalFormatting>
  <conditionalFormatting sqref="G12:R12 T12:V12">
    <cfRule type="expression" priority="35" dxfId="0">
      <formula>G12="A"</formula>
    </cfRule>
    <cfRule type="expression" priority="36" dxfId="1">
      <formula>G12="R"</formula>
    </cfRule>
    <cfRule type="expression" priority="37" dxfId="2">
      <formula>G12="C"</formula>
    </cfRule>
    <cfRule type="expression" priority="38" dxfId="3">
      <formula>G12="I"</formula>
    </cfRule>
  </conditionalFormatting>
  <conditionalFormatting sqref="G15:R15 T15:V15">
    <cfRule type="expression" priority="13" dxfId="0">
      <formula>G15="A"</formula>
    </cfRule>
    <cfRule type="expression" priority="14" dxfId="1">
      <formula>G15="R"</formula>
    </cfRule>
    <cfRule type="expression" priority="15" dxfId="2">
      <formula>G15="C"</formula>
    </cfRule>
    <cfRule type="expression" priority="16" dxfId="3">
      <formula>G15="I"</formula>
    </cfRule>
  </conditionalFormatting>
  <conditionalFormatting sqref="X29:Y30">
    <cfRule type="expression" priority="8" dxfId="3">
      <formula>X29="I"</formula>
    </cfRule>
    <cfRule type="expression" priority="7" dxfId="2">
      <formula>X29="C"</formula>
    </cfRule>
    <cfRule type="expression" priority="6" dxfId="1">
      <formula>X29="R"</formula>
    </cfRule>
    <cfRule type="expression" priority="5" dxfId="0">
      <formula>X29="A"</formula>
    </cfRule>
  </conditionalFormatting>
  <dataValidations count="2">
    <dataValidation sqref="B5:B6 B7 B8 B9 B10 B11 B12 B13 B14 B15 B16 B17 B18 B19:B20 B21 B22 B23:B24 B25 B26:B28 B29:B86 C21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P6 G7:P7 G8:P8 G9:P9 G10:P10 G11:P11 G12:P12 G13:P13 G14:P14 G15:P15 G16:P16 G17:P17 G18:P18 G19:P20 G21:P22 G23:P24 G25:P25 G26:P28 G29:P86 Q5:V6 Q7:V7 Q8:V8 Q9:V9 Q10:V10 Q11:V11 Q12:V12 Q13:V13 Q14:V14 Q15:V15 Q16:V16 Q17:V17 Q18:V18 Q19:V20 Q21:V22 Q23:V24 Q25:V25 Q26:V28 Q29:V86 W5:W29 X29:X30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 paperSize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C17" sqref="C17"/>
    </sheetView>
  </sheetViews>
  <sheetFormatPr baseColWidth="8" defaultColWidth="9" defaultRowHeight="13.5"/>
  <cols>
    <col width="14" customWidth="1" min="1" max="1"/>
    <col width="34" customWidth="1" min="2" max="2"/>
    <col width="24" customWidth="1" min="3" max="3"/>
    <col width="14" customWidth="1" min="4" max="4"/>
    <col width="16" customWidth="1" min="5" max="5"/>
    <col width="34" customWidth="1" min="6" max="6"/>
    <col width="13" customWidth="1" min="7" max="7"/>
    <col width="30" customWidth="1" min="8" max="9"/>
    <col width="16" customWidth="1" min="10" max="10"/>
    <col width="13" customWidth="1" min="11" max="11"/>
    <col width="28" customWidth="1" min="12" max="12"/>
  </cols>
  <sheetData>
    <row r="1" ht="30" customHeight="1">
      <c r="A1" s="7" t="inlineStr">
        <is>
          <t>05｜组织架构与职责待确认清单</t>
        </is>
      </c>
    </row>
    <row r="2" ht="24" customHeight="1">
      <c r="A2" s="8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/>
    <row r="4" ht="30" customHeight="1">
      <c r="A4" s="9" t="inlineStr">
        <is>
          <t>确认编号</t>
        </is>
      </c>
      <c r="B4" s="9" t="inlineStr">
        <is>
          <t>确认事项</t>
        </is>
      </c>
      <c r="C4" s="9" t="inlineStr">
        <is>
          <t>涉及组织/岗位</t>
        </is>
      </c>
      <c r="D4" s="9" t="inlineStr">
        <is>
          <t>当前状态</t>
        </is>
      </c>
      <c r="E4" s="9" t="inlineStr">
        <is>
          <t>建议确认人</t>
        </is>
      </c>
      <c r="F4" s="9" t="inlineStr">
        <is>
          <t>确认结论</t>
        </is>
      </c>
      <c r="G4" s="9" t="inlineStr">
        <is>
          <t>生效日期</t>
        </is>
      </c>
      <c r="H4" s="9" t="inlineStr">
        <is>
          <t>证据/依据</t>
        </is>
      </c>
      <c r="I4" s="9" t="inlineStr">
        <is>
          <t>后续动作</t>
        </is>
      </c>
      <c r="J4" s="9" t="inlineStr">
        <is>
          <t>责任人</t>
        </is>
      </c>
      <c r="K4" s="9" t="inlineStr">
        <is>
          <t>截止日期</t>
        </is>
      </c>
      <c r="L4" s="9" t="inlineStr">
        <is>
          <t>备注</t>
        </is>
      </c>
    </row>
    <row r="5" ht="24" customHeight="1">
      <c r="A5" s="12" t="inlineStr">
        <is>
          <t>CONF-001</t>
        </is>
      </c>
      <c r="B5" s="12" t="inlineStr">
        <is>
          <t>补录董事长姓名、员工ID和联系方式</t>
        </is>
      </c>
      <c r="C5" s="12" t="inlineStr">
        <is>
          <t>公司治理</t>
        </is>
      </c>
      <c r="D5" s="12" t="inlineStr">
        <is>
          <t>已确认</t>
        </is>
      </c>
      <c r="E5" s="12" t="inlineStr">
        <is>
          <t>公司负责人</t>
        </is>
      </c>
      <c r="F5" s="13" t="inlineStr">
        <is>
          <t>董事长为王勇（EMP-0020）；ORG-CHAIR为公司层级组织单元，ORG-ROOT负责人保持“/”。</t>
        </is>
      </c>
      <c r="G5" s="98" t="n">
        <v>46299</v>
      </c>
      <c r="H5" s="12" t="inlineStr">
        <is>
          <t>原始机构图只提供岗位名称</t>
        </is>
      </c>
      <c r="I5" s="12" t="inlineStr">
        <is>
          <t>补录人员主数据</t>
        </is>
      </c>
      <c r="J5" s="12" t="inlineStr">
        <is>
          <t>待确认</t>
        </is>
      </c>
      <c r="K5" s="98" t="n"/>
      <c r="L5" s="13" t="n"/>
    </row>
    <row r="6" ht="24" customHeight="1">
      <c r="A6" s="15" t="inlineStr">
        <is>
          <t>CONF-002</t>
        </is>
      </c>
      <c r="B6" s="15" t="inlineStr">
        <is>
          <t>补录总经理姓名、员工ID和直接上级关系</t>
        </is>
      </c>
      <c r="C6" s="15" t="inlineStr">
        <is>
          <t>公司治理</t>
        </is>
      </c>
      <c r="D6" s="15" t="inlineStr">
        <is>
          <t>已确认</t>
        </is>
      </c>
      <c r="E6" s="15" t="inlineStr">
        <is>
          <t>公司负责人</t>
        </is>
      </c>
      <c r="F6" s="16" t="inlineStr">
        <is>
          <t>总经理为王晓华（EMP-0019）；员工上级员工ID为“/”；与董事长并列挂在公司组织单元下，不建立员工直接汇报线。</t>
        </is>
      </c>
      <c r="G6" s="99" t="n">
        <v>46299</v>
      </c>
      <c r="H6" s="15" t="inlineStr">
        <is>
          <t>原始机构图只提供岗位名称</t>
        </is>
      </c>
      <c r="I6" s="15" t="inlineStr">
        <is>
          <t>补录人员主数据</t>
        </is>
      </c>
      <c r="J6" s="15" t="inlineStr">
        <is>
          <t>待确认</t>
        </is>
      </c>
      <c r="K6" s="99" t="n"/>
      <c r="L6" s="16" t="n"/>
    </row>
    <row r="7" ht="24" customHeight="1">
      <c r="A7" s="12" t="inlineStr">
        <is>
          <t>CONF-003</t>
        </is>
      </c>
      <c r="B7" s="12" t="inlineStr">
        <is>
          <t>确认生产部负责人及工程技术组/冲压车间/模具维修组归属</t>
        </is>
      </c>
      <c r="C7" s="12" t="inlineStr">
        <is>
          <t>生产部</t>
        </is>
      </c>
      <c r="D7" s="12" t="inlineStr">
        <is>
          <t>已确认</t>
        </is>
      </c>
      <c r="E7" s="12" t="inlineStr">
        <is>
          <t>总经理</t>
        </is>
      </c>
      <c r="F7" s="13" t="n"/>
      <c r="G7" s="98" t="n"/>
      <c r="H7" s="12" t="inlineStr">
        <is>
          <t>机构图给出层级位置，未给负责人</t>
        </is>
      </c>
      <c r="I7" s="12" t="inlineStr">
        <is>
          <t>补录部门负责人和岗位</t>
        </is>
      </c>
      <c r="J7" s="12" t="inlineStr">
        <is>
          <t>待确认</t>
        </is>
      </c>
      <c r="K7" s="98" t="n"/>
      <c r="L7" s="13" t="n"/>
    </row>
    <row r="8" ht="24" customHeight="1">
      <c r="A8" s="12" t="inlineStr">
        <is>
          <t>CONF-005</t>
        </is>
      </c>
      <c r="B8" s="12" t="inlineStr">
        <is>
          <t>确认营运部负责人及业务、采购组、仓储组归属</t>
        </is>
      </c>
      <c r="C8" s="12" t="inlineStr">
        <is>
          <t>营运部</t>
        </is>
      </c>
      <c r="D8" s="12" t="inlineStr">
        <is>
          <t>已确认</t>
        </is>
      </c>
      <c r="E8" s="12" t="inlineStr">
        <is>
          <t>总经理</t>
        </is>
      </c>
      <c r="F8" s="13" t="n"/>
      <c r="G8" s="98" t="n"/>
      <c r="H8" s="12" t="inlineStr">
        <is>
          <t>机构图给出层级位置，未给职责边界</t>
        </is>
      </c>
      <c r="I8" s="12" t="inlineStr">
        <is>
          <t>建立运营职责矩阵</t>
        </is>
      </c>
      <c r="J8" s="12" t="inlineStr">
        <is>
          <t>待确认</t>
        </is>
      </c>
      <c r="K8" s="98" t="n"/>
      <c r="L8" s="13" t="n"/>
    </row>
    <row r="9" ht="24" customHeight="1">
      <c r="A9" s="15" t="inlineStr">
        <is>
          <t>CONF-006</t>
        </is>
      </c>
      <c r="B9" s="15" t="inlineStr">
        <is>
          <t>确认行政部负责人及人事、后勤归属</t>
        </is>
      </c>
      <c r="C9" s="15" t="inlineStr">
        <is>
          <t>行政部</t>
        </is>
      </c>
      <c r="D9" s="15" t="inlineStr">
        <is>
          <t>已确认</t>
        </is>
      </c>
      <c r="E9" s="15" t="inlineStr">
        <is>
          <t>总经理</t>
        </is>
      </c>
      <c r="F9" s="16" t="n"/>
      <c r="G9" s="99" t="n"/>
      <c r="H9" s="15" t="inlineStr">
        <is>
          <t>机构图给出层级位置，未给负责人</t>
        </is>
      </c>
      <c r="I9" s="15" t="inlineStr">
        <is>
          <t>建立行政职责矩阵</t>
        </is>
      </c>
      <c r="J9" s="15" t="inlineStr">
        <is>
          <t>待确认</t>
        </is>
      </c>
      <c r="K9" s="99" t="n"/>
      <c r="L9" s="16" t="n"/>
    </row>
    <row r="10" ht="24" customHeight="1">
      <c r="A10" s="12" t="inlineStr">
        <is>
          <t>CONF-007</t>
        </is>
      </c>
      <c r="B10" s="12" t="inlineStr">
        <is>
          <t>确认财务部负责人及会计、出纳复核/审批关系</t>
        </is>
      </c>
      <c r="C10" s="12" t="inlineStr">
        <is>
          <t>财务部</t>
        </is>
      </c>
      <c r="D10" s="12" t="inlineStr">
        <is>
          <t>已确认</t>
        </is>
      </c>
      <c r="E10" s="12" t="inlineStr">
        <is>
          <t>董事长/总经理</t>
        </is>
      </c>
      <c r="F10" s="13" t="n"/>
      <c r="G10" s="98" t="n"/>
      <c r="H10" s="12" t="inlineStr">
        <is>
          <t>机构图只列会计、出纳单元</t>
        </is>
      </c>
      <c r="I10" s="12" t="inlineStr">
        <is>
          <t>建立财务授权矩阵</t>
        </is>
      </c>
      <c r="J10" s="12" t="inlineStr">
        <is>
          <t>待确认</t>
        </is>
      </c>
      <c r="K10" s="98" t="n"/>
      <c r="L10" s="13" t="n"/>
    </row>
    <row r="11" ht="24" customHeight="1">
      <c r="A11" s="15" t="inlineStr">
        <is>
          <t>CONF-008</t>
        </is>
      </c>
      <c r="B11" s="15" t="inlineStr">
        <is>
          <t>确认董事长与总经理的直接汇报及授权关系</t>
        </is>
      </c>
      <c r="C11" s="15" t="inlineStr">
        <is>
          <t>公司治理</t>
        </is>
      </c>
      <c r="D11" s="15" t="inlineStr">
        <is>
          <t>已确认</t>
        </is>
      </c>
      <c r="E11" s="15" t="inlineStr">
        <is>
          <t>董事长</t>
        </is>
      </c>
      <c r="F11" s="16" t="n"/>
      <c r="G11" s="99" t="n"/>
      <c r="H11" s="15" t="inlineStr">
        <is>
          <t>机构图体现上下级位置但未说明授权边界</t>
        </is>
      </c>
      <c r="I11" s="15" t="inlineStr">
        <is>
          <t>填写汇报与审批关系</t>
        </is>
      </c>
      <c r="J11" s="15" t="inlineStr">
        <is>
          <t>待确认</t>
        </is>
      </c>
      <c r="K11" s="99" t="n"/>
      <c r="L11" s="16" t="n"/>
    </row>
    <row r="12" ht="35" customHeight="1">
      <c r="A12" s="12" t="inlineStr">
        <is>
          <t>CONF-009</t>
        </is>
      </c>
      <c r="B12" s="12" t="inlineStr">
        <is>
          <t>确认质量管理体系职责由哪个现有岗位/人员承担（不是新增岗位）</t>
        </is>
      </c>
      <c r="C12" s="12" t="inlineStr">
        <is>
          <t>品质部/总经理</t>
        </is>
      </c>
      <c r="D12" s="12" t="inlineStr">
        <is>
          <t>已确认</t>
        </is>
      </c>
      <c r="E12" s="12" t="inlineStr">
        <is>
          <t>总经理</t>
        </is>
      </c>
      <c r="F12" s="13" t="n"/>
      <c r="G12" s="98" t="n"/>
      <c r="H12" s="12" t="inlineStr">
        <is>
          <t>附件3提出管理者代表职责，但公司当前组织机构图未列此岗位；按用户确认不作为岗位名称</t>
        </is>
      </c>
      <c r="I12" s="12" t="inlineStr">
        <is>
          <t>在RACI中配置质量体系职责，不新增岗位</t>
        </is>
      </c>
      <c r="J12" s="12" t="inlineStr">
        <is>
          <t>待确认</t>
        </is>
      </c>
      <c r="K12" s="98" t="n"/>
      <c r="L12" s="13" t="n"/>
    </row>
    <row r="13" ht="40" customHeight="1">
      <c r="A13" s="12" t="inlineStr">
        <is>
          <t>CONF-011</t>
        </is>
      </c>
      <c r="B13" s="12" t="inlineStr">
        <is>
          <t>确认生产部、品质部、行政部职责说明中的权限边界</t>
        </is>
      </c>
      <c r="C13" s="12" t="inlineStr">
        <is>
          <t>生产部/品质部/行政部</t>
        </is>
      </c>
      <c r="D13" s="12" t="inlineStr">
        <is>
          <t>已确认</t>
        </is>
      </c>
      <c r="E13" s="12" t="inlineStr">
        <is>
          <t>总经理</t>
        </is>
      </c>
      <c r="F13" s="13" t="n"/>
      <c r="G13" s="98" t="n"/>
      <c r="H13" s="12" t="inlineStr">
        <is>
          <t>附件3给出职责，但多数权限未写明批准人</t>
        </is>
      </c>
      <c r="I13" s="12" t="inlineStr">
        <is>
          <t>补录RACI和授权矩阵</t>
        </is>
      </c>
      <c r="J13" s="12" t="inlineStr">
        <is>
          <t>待确认</t>
        </is>
      </c>
      <c r="K13" s="98" t="n"/>
      <c r="L13" s="13" t="n"/>
    </row>
    <row r="14" ht="24" customHeight="1">
      <c r="A14" s="16" t="n"/>
      <c r="B14" s="16" t="n"/>
      <c r="C14" s="16" t="n"/>
      <c r="D14" s="16" t="n"/>
      <c r="E14" s="16" t="n"/>
      <c r="F14" s="16" t="n"/>
      <c r="G14" s="99" t="n"/>
      <c r="H14" s="16" t="n"/>
      <c r="I14" s="16" t="n"/>
      <c r="J14" s="16" t="n"/>
      <c r="K14" s="99" t="n"/>
      <c r="L14" s="16" t="n"/>
    </row>
    <row r="15" ht="24" customHeight="1">
      <c r="A15" s="13" t="n"/>
      <c r="B15" s="13" t="n"/>
      <c r="C15" s="13" t="n"/>
      <c r="D15" s="13" t="n"/>
      <c r="E15" s="13" t="n"/>
      <c r="F15" s="13" t="n"/>
      <c r="G15" s="98" t="n"/>
      <c r="H15" s="13" t="n"/>
      <c r="I15" s="13" t="n"/>
      <c r="J15" s="13" t="n"/>
      <c r="K15" s="98" t="n"/>
      <c r="L15" s="13" t="n"/>
    </row>
    <row r="16" ht="24" customHeight="1">
      <c r="A16" s="16" t="n"/>
      <c r="B16" s="16" t="n"/>
      <c r="C16" s="16" t="n"/>
      <c r="D16" s="16" t="n"/>
      <c r="E16" s="16" t="n"/>
      <c r="F16" s="16" t="n"/>
      <c r="G16" s="99" t="n"/>
      <c r="H16" s="16" t="n"/>
      <c r="I16" s="16" t="n"/>
      <c r="J16" s="16" t="n"/>
      <c r="K16" s="99" t="n"/>
      <c r="L16" s="16" t="n"/>
    </row>
    <row r="17" ht="24" customHeight="1">
      <c r="A17" s="13" t="n"/>
      <c r="B17" s="13" t="n"/>
      <c r="C17" s="13" t="n"/>
      <c r="D17" s="13" t="n"/>
      <c r="E17" s="13" t="n"/>
      <c r="F17" s="13" t="n"/>
      <c r="G17" s="98" t="n"/>
      <c r="H17" s="13" t="n"/>
      <c r="I17" s="13" t="n"/>
      <c r="J17" s="13" t="n"/>
      <c r="K17" s="98" t="n"/>
      <c r="L17" s="13" t="n"/>
    </row>
    <row r="18" ht="24" customHeight="1">
      <c r="A18" s="16" t="n"/>
      <c r="B18" s="16" t="n"/>
      <c r="C18" s="16" t="n"/>
      <c r="D18" s="16" t="n"/>
      <c r="E18" s="16" t="n"/>
      <c r="F18" s="16" t="n"/>
      <c r="G18" s="99" t="n"/>
      <c r="H18" s="16" t="n"/>
      <c r="I18" s="16" t="n"/>
      <c r="J18" s="16" t="n"/>
      <c r="K18" s="99" t="n"/>
      <c r="L18" s="16" t="n"/>
    </row>
    <row r="19" ht="24" customHeight="1">
      <c r="A19" s="13" t="n"/>
      <c r="B19" s="13" t="n"/>
      <c r="C19" s="13" t="n"/>
      <c r="D19" s="13" t="n"/>
      <c r="E19" s="13" t="n"/>
      <c r="F19" s="13" t="n"/>
      <c r="G19" s="98" t="n"/>
      <c r="H19" s="13" t="n"/>
      <c r="I19" s="13" t="n"/>
      <c r="J19" s="13" t="n"/>
      <c r="K19" s="98" t="n"/>
      <c r="L19" s="13" t="n"/>
    </row>
    <row r="20" ht="24" customHeight="1">
      <c r="A20" s="16" t="n"/>
      <c r="B20" s="16" t="n"/>
      <c r="C20" s="16" t="n"/>
      <c r="D20" s="16" t="n"/>
      <c r="E20" s="16" t="n"/>
      <c r="F20" s="16" t="n"/>
      <c r="G20" s="99" t="n"/>
      <c r="H20" s="16" t="n"/>
      <c r="I20" s="16" t="n"/>
      <c r="J20" s="16" t="n"/>
      <c r="K20" s="99" t="n"/>
      <c r="L20" s="16" t="n"/>
    </row>
    <row r="21" ht="24" customHeight="1">
      <c r="A21" s="13" t="n"/>
      <c r="B21" s="13" t="n"/>
      <c r="C21" s="13" t="n"/>
      <c r="D21" s="13" t="n"/>
      <c r="E21" s="13" t="n"/>
      <c r="F21" s="13" t="n"/>
      <c r="G21" s="98" t="n"/>
      <c r="H21" s="13" t="n"/>
      <c r="I21" s="13" t="n"/>
      <c r="J21" s="13" t="n"/>
      <c r="K21" s="98" t="n"/>
      <c r="L21" s="13" t="n"/>
    </row>
    <row r="22" ht="24" customHeight="1">
      <c r="A22" s="16" t="n"/>
      <c r="B22" s="16" t="n"/>
      <c r="C22" s="16" t="n"/>
      <c r="D22" s="16" t="n"/>
      <c r="E22" s="16" t="n"/>
      <c r="F22" s="16" t="n"/>
      <c r="G22" s="99" t="n"/>
      <c r="H22" s="16" t="n"/>
      <c r="I22" s="16" t="n"/>
      <c r="J22" s="16" t="n"/>
      <c r="K22" s="99" t="n"/>
      <c r="L22" s="16" t="n"/>
    </row>
    <row r="23" ht="24" customHeight="1">
      <c r="A23" s="13" t="n"/>
      <c r="B23" s="13" t="n"/>
      <c r="C23" s="13" t="n"/>
      <c r="D23" s="13" t="n"/>
      <c r="E23" s="13" t="n"/>
      <c r="F23" s="13" t="n"/>
      <c r="G23" s="98" t="n"/>
      <c r="H23" s="13" t="n"/>
      <c r="I23" s="13" t="n"/>
      <c r="J23" s="13" t="n"/>
      <c r="K23" s="98" t="n"/>
      <c r="L23" s="13" t="n"/>
    </row>
    <row r="24" ht="24" customHeight="1">
      <c r="A24" s="16" t="n"/>
      <c r="B24" s="16" t="n"/>
      <c r="C24" s="16" t="n"/>
      <c r="D24" s="16" t="n"/>
      <c r="E24" s="16" t="n"/>
      <c r="F24" s="16" t="n"/>
      <c r="G24" s="99" t="n"/>
      <c r="H24" s="16" t="n"/>
      <c r="I24" s="16" t="n"/>
      <c r="J24" s="16" t="n"/>
      <c r="K24" s="99" t="n"/>
      <c r="L24" s="16" t="n"/>
    </row>
    <row r="25" ht="24" customHeight="1">
      <c r="A25" s="13" t="n"/>
      <c r="B25" s="13" t="n"/>
      <c r="C25" s="13" t="n"/>
      <c r="D25" s="13" t="n"/>
      <c r="E25" s="13" t="n"/>
      <c r="F25" s="13" t="n"/>
      <c r="G25" s="98" t="n"/>
      <c r="H25" s="13" t="n"/>
      <c r="I25" s="13" t="n"/>
      <c r="J25" s="13" t="n"/>
      <c r="K25" s="98" t="n"/>
      <c r="L25" s="13" t="n"/>
    </row>
    <row r="26" ht="24" customHeight="1">
      <c r="A26" s="16" t="n"/>
      <c r="B26" s="16" t="n"/>
      <c r="C26" s="16" t="n"/>
      <c r="D26" s="16" t="n"/>
      <c r="E26" s="16" t="n"/>
      <c r="F26" s="16" t="n"/>
      <c r="G26" s="99" t="n"/>
      <c r="H26" s="16" t="n"/>
      <c r="I26" s="16" t="n"/>
      <c r="J26" s="16" t="n"/>
      <c r="K26" s="99" t="n"/>
      <c r="L26" s="16" t="n"/>
    </row>
    <row r="27" ht="24" customHeight="1">
      <c r="A27" s="13" t="n"/>
      <c r="B27" s="13" t="n"/>
      <c r="C27" s="13" t="n"/>
      <c r="D27" s="13" t="n"/>
      <c r="E27" s="13" t="n"/>
      <c r="F27" s="13" t="n"/>
      <c r="G27" s="98" t="n"/>
      <c r="H27" s="13" t="n"/>
      <c r="I27" s="13" t="n"/>
      <c r="J27" s="13" t="n"/>
      <c r="K27" s="98" t="n"/>
      <c r="L27" s="13" t="n"/>
    </row>
    <row r="28" ht="24" customHeight="1">
      <c r="A28" s="16" t="n"/>
      <c r="B28" s="16" t="n"/>
      <c r="C28" s="16" t="n"/>
      <c r="D28" s="16" t="n"/>
      <c r="E28" s="16" t="n"/>
      <c r="F28" s="16" t="n"/>
      <c r="G28" s="99" t="n"/>
      <c r="H28" s="16" t="n"/>
      <c r="I28" s="16" t="n"/>
      <c r="J28" s="16" t="n"/>
      <c r="K28" s="99" t="n"/>
      <c r="L28" s="16" t="n"/>
    </row>
    <row r="29" ht="24" customHeight="1">
      <c r="A29" s="13" t="n"/>
      <c r="B29" s="13" t="n"/>
      <c r="C29" s="13" t="n"/>
      <c r="D29" s="13" t="n"/>
      <c r="E29" s="13" t="n"/>
      <c r="F29" s="13" t="n"/>
      <c r="G29" s="98" t="n"/>
      <c r="H29" s="13" t="n"/>
      <c r="I29" s="13" t="n"/>
      <c r="J29" s="13" t="n"/>
      <c r="K29" s="98" t="n"/>
      <c r="L29" s="13" t="n"/>
    </row>
    <row r="30" ht="24" customHeight="1">
      <c r="A30" s="16" t="n"/>
      <c r="B30" s="16" t="n"/>
      <c r="C30" s="16" t="n"/>
      <c r="D30" s="16" t="n"/>
      <c r="E30" s="16" t="n"/>
      <c r="F30" s="16" t="n"/>
      <c r="G30" s="99" t="n"/>
      <c r="H30" s="16" t="n"/>
      <c r="I30" s="16" t="n"/>
      <c r="J30" s="16" t="n"/>
      <c r="K30" s="99" t="n"/>
      <c r="L30" s="16" t="n"/>
    </row>
    <row r="31" ht="24" customHeight="1">
      <c r="A31" s="13" t="n"/>
      <c r="B31" s="13" t="n"/>
      <c r="C31" s="13" t="n"/>
      <c r="D31" s="13" t="n"/>
      <c r="E31" s="13" t="n"/>
      <c r="F31" s="13" t="n"/>
      <c r="G31" s="98" t="n"/>
      <c r="H31" s="13" t="n"/>
      <c r="I31" s="13" t="n"/>
      <c r="J31" s="13" t="n"/>
      <c r="K31" s="98" t="n"/>
      <c r="L31" s="13" t="n"/>
    </row>
    <row r="32" ht="24" customHeight="1">
      <c r="A32" s="16" t="n"/>
      <c r="B32" s="16" t="n"/>
      <c r="C32" s="16" t="n"/>
      <c r="D32" s="16" t="n"/>
      <c r="E32" s="16" t="n"/>
      <c r="F32" s="16" t="n"/>
      <c r="G32" s="99" t="n"/>
      <c r="H32" s="16" t="n"/>
      <c r="I32" s="16" t="n"/>
      <c r="J32" s="16" t="n"/>
      <c r="K32" s="99" t="n"/>
      <c r="L32" s="16" t="n"/>
    </row>
    <row r="33" ht="24" customHeight="1">
      <c r="A33" s="13" t="n"/>
      <c r="B33" s="13" t="n"/>
      <c r="C33" s="13" t="n"/>
      <c r="D33" s="13" t="n"/>
      <c r="E33" s="13" t="n"/>
      <c r="F33" s="13" t="n"/>
      <c r="G33" s="98" t="n"/>
      <c r="H33" s="13" t="n"/>
      <c r="I33" s="13" t="n"/>
      <c r="J33" s="13" t="n"/>
      <c r="K33" s="98" t="n"/>
      <c r="L33" s="13" t="n"/>
    </row>
    <row r="34" ht="24" customHeight="1">
      <c r="A34" s="16" t="n"/>
      <c r="B34" s="16" t="n"/>
      <c r="C34" s="16" t="n"/>
      <c r="D34" s="16" t="n"/>
      <c r="E34" s="16" t="n"/>
      <c r="F34" s="16" t="n"/>
      <c r="G34" s="99" t="n"/>
      <c r="H34" s="16" t="n"/>
      <c r="I34" s="16" t="n"/>
      <c r="J34" s="16" t="n"/>
      <c r="K34" s="99" t="n"/>
      <c r="L34" s="16" t="n"/>
    </row>
    <row r="35" ht="24" customHeight="1">
      <c r="A35" s="13" t="n"/>
      <c r="B35" s="13" t="n"/>
      <c r="C35" s="13" t="n"/>
      <c r="D35" s="13" t="n"/>
      <c r="E35" s="13" t="n"/>
      <c r="F35" s="13" t="n"/>
      <c r="G35" s="98" t="n"/>
      <c r="H35" s="13" t="n"/>
      <c r="I35" s="13" t="n"/>
      <c r="J35" s="13" t="n"/>
      <c r="K35" s="98" t="n"/>
      <c r="L35" s="13" t="n"/>
    </row>
    <row r="36" ht="24" customHeight="1">
      <c r="A36" s="16" t="n"/>
      <c r="B36" s="16" t="n"/>
      <c r="C36" s="16" t="n"/>
      <c r="D36" s="16" t="n"/>
      <c r="E36" s="16" t="n"/>
      <c r="F36" s="16" t="n"/>
      <c r="G36" s="99" t="n"/>
      <c r="H36" s="16" t="n"/>
      <c r="I36" s="16" t="n"/>
      <c r="J36" s="16" t="n"/>
      <c r="K36" s="99" t="n"/>
      <c r="L36" s="16" t="n"/>
    </row>
    <row r="37" ht="24" customHeight="1">
      <c r="A37" s="13" t="n"/>
      <c r="B37" s="13" t="n"/>
      <c r="C37" s="13" t="n"/>
      <c r="D37" s="13" t="n"/>
      <c r="E37" s="13" t="n"/>
      <c r="F37" s="13" t="n"/>
      <c r="G37" s="98" t="n"/>
      <c r="H37" s="13" t="n"/>
      <c r="I37" s="13" t="n"/>
      <c r="J37" s="13" t="n"/>
      <c r="K37" s="98" t="n"/>
      <c r="L37" s="13" t="n"/>
    </row>
    <row r="38" ht="24" customHeight="1">
      <c r="A38" s="16" t="n"/>
      <c r="B38" s="16" t="n"/>
      <c r="C38" s="16" t="n"/>
      <c r="D38" s="16" t="n"/>
      <c r="E38" s="16" t="n"/>
      <c r="F38" s="16" t="n"/>
      <c r="G38" s="99" t="n"/>
      <c r="H38" s="16" t="n"/>
      <c r="I38" s="16" t="n"/>
      <c r="J38" s="16" t="n"/>
      <c r="K38" s="99" t="n"/>
      <c r="L38" s="16" t="n"/>
    </row>
    <row r="39" ht="24" customHeight="1">
      <c r="A39" s="13" t="n"/>
      <c r="B39" s="13" t="n"/>
      <c r="C39" s="13" t="n"/>
      <c r="D39" s="13" t="n"/>
      <c r="E39" s="13" t="n"/>
      <c r="F39" s="13" t="n"/>
      <c r="G39" s="98" t="n"/>
      <c r="H39" s="13" t="n"/>
      <c r="I39" s="13" t="n"/>
      <c r="J39" s="13" t="n"/>
      <c r="K39" s="98" t="n"/>
      <c r="L39" s="13" t="n"/>
    </row>
    <row r="40" ht="24" customHeight="1">
      <c r="A40" s="16" t="n"/>
      <c r="B40" s="16" t="n"/>
      <c r="C40" s="16" t="n"/>
      <c r="D40" s="16" t="n"/>
      <c r="E40" s="16" t="n"/>
      <c r="F40" s="16" t="n"/>
      <c r="G40" s="99" t="n"/>
      <c r="H40" s="16" t="n"/>
      <c r="I40" s="16" t="n"/>
      <c r="J40" s="16" t="n"/>
      <c r="K40" s="99" t="n"/>
      <c r="L40" s="16" t="n"/>
    </row>
    <row r="41" ht="24" customHeight="1">
      <c r="A41" s="13" t="n"/>
      <c r="B41" s="13" t="n"/>
      <c r="C41" s="13" t="n"/>
      <c r="D41" s="13" t="n"/>
      <c r="E41" s="13" t="n"/>
      <c r="F41" s="13" t="n"/>
      <c r="G41" s="98" t="n"/>
      <c r="H41" s="13" t="n"/>
      <c r="I41" s="13" t="n"/>
      <c r="J41" s="13" t="n"/>
      <c r="K41" s="98" t="n"/>
      <c r="L41" s="13" t="n"/>
    </row>
    <row r="42" ht="24" customHeight="1">
      <c r="A42" s="16" t="n"/>
      <c r="B42" s="16" t="n"/>
      <c r="C42" s="16" t="n"/>
      <c r="D42" s="16" t="n"/>
      <c r="E42" s="16" t="n"/>
      <c r="F42" s="16" t="n"/>
      <c r="G42" s="99" t="n"/>
      <c r="H42" s="16" t="n"/>
      <c r="I42" s="16" t="n"/>
      <c r="J42" s="16" t="n"/>
      <c r="K42" s="99" t="n"/>
      <c r="L42" s="16" t="n"/>
    </row>
    <row r="43" ht="24" customHeight="1">
      <c r="A43" s="13" t="n"/>
      <c r="B43" s="13" t="n"/>
      <c r="C43" s="13" t="n"/>
      <c r="D43" s="13" t="n"/>
      <c r="E43" s="13" t="n"/>
      <c r="F43" s="13" t="n"/>
      <c r="G43" s="98" t="n"/>
      <c r="H43" s="13" t="n"/>
      <c r="I43" s="13" t="n"/>
      <c r="J43" s="13" t="n"/>
      <c r="K43" s="98" t="n"/>
      <c r="L43" s="13" t="n"/>
    </row>
    <row r="44" ht="24" customHeight="1">
      <c r="A44" s="16" t="n"/>
      <c r="B44" s="16" t="n"/>
      <c r="C44" s="16" t="n"/>
      <c r="D44" s="16" t="n"/>
      <c r="E44" s="16" t="n"/>
      <c r="F44" s="16" t="n"/>
      <c r="G44" s="99" t="n"/>
      <c r="H44" s="16" t="n"/>
      <c r="I44" s="16" t="n"/>
      <c r="J44" s="16" t="n"/>
      <c r="K44" s="99" t="n"/>
      <c r="L44" s="16" t="n"/>
    </row>
    <row r="45" ht="24" customHeight="1">
      <c r="A45" s="13" t="n"/>
      <c r="B45" s="13" t="n"/>
      <c r="C45" s="13" t="n"/>
      <c r="D45" s="13" t="n"/>
      <c r="E45" s="13" t="n"/>
      <c r="F45" s="13" t="n"/>
      <c r="G45" s="98" t="n"/>
      <c r="H45" s="13" t="n"/>
      <c r="I45" s="13" t="n"/>
      <c r="J45" s="13" t="n"/>
      <c r="K45" s="98" t="n"/>
      <c r="L45" s="13" t="n"/>
    </row>
    <row r="46" ht="24" customHeight="1">
      <c r="A46" s="16" t="n"/>
      <c r="B46" s="16" t="n"/>
      <c r="C46" s="16" t="n"/>
      <c r="D46" s="16" t="n"/>
      <c r="E46" s="16" t="n"/>
      <c r="F46" s="16" t="n"/>
      <c r="G46" s="99" t="n"/>
      <c r="H46" s="16" t="n"/>
      <c r="I46" s="16" t="n"/>
      <c r="J46" s="16" t="n"/>
      <c r="K46" s="99" t="n"/>
      <c r="L46" s="16" t="n"/>
    </row>
    <row r="47" ht="24" customHeight="1">
      <c r="A47" s="13" t="n"/>
      <c r="B47" s="13" t="n"/>
      <c r="C47" s="13" t="n"/>
      <c r="D47" s="13" t="n"/>
      <c r="E47" s="13" t="n"/>
      <c r="F47" s="13" t="n"/>
      <c r="G47" s="98" t="n"/>
      <c r="H47" s="13" t="n"/>
      <c r="I47" s="13" t="n"/>
      <c r="J47" s="13" t="n"/>
      <c r="K47" s="98" t="n"/>
      <c r="L47" s="13" t="n"/>
    </row>
    <row r="48" ht="24" customHeight="1">
      <c r="A48" s="16" t="n"/>
      <c r="B48" s="16" t="n"/>
      <c r="C48" s="16" t="n"/>
      <c r="D48" s="16" t="n"/>
      <c r="E48" s="16" t="n"/>
      <c r="F48" s="16" t="n"/>
      <c r="G48" s="99" t="n"/>
      <c r="H48" s="16" t="n"/>
      <c r="I48" s="16" t="n"/>
      <c r="J48" s="16" t="n"/>
      <c r="K48" s="99" t="n"/>
      <c r="L48" s="16" t="n"/>
    </row>
    <row r="49" ht="24" customHeight="1">
      <c r="A49" s="13" t="n"/>
      <c r="B49" s="13" t="n"/>
      <c r="C49" s="13" t="n"/>
      <c r="D49" s="13" t="n"/>
      <c r="E49" s="13" t="n"/>
      <c r="F49" s="13" t="n"/>
      <c r="G49" s="98" t="n"/>
      <c r="H49" s="13" t="n"/>
      <c r="I49" s="13" t="n"/>
      <c r="J49" s="13" t="n"/>
      <c r="K49" s="98" t="n"/>
      <c r="L49" s="13" t="n"/>
    </row>
    <row r="50" ht="24" customHeight="1">
      <c r="A50" s="16" t="n"/>
      <c r="B50" s="16" t="n"/>
      <c r="C50" s="16" t="n"/>
      <c r="D50" s="16" t="n"/>
      <c r="E50" s="16" t="n"/>
      <c r="F50" s="16" t="n"/>
      <c r="G50" s="99" t="n"/>
      <c r="H50" s="16" t="n"/>
      <c r="I50" s="16" t="n"/>
      <c r="J50" s="16" t="n"/>
      <c r="K50" s="99" t="n"/>
      <c r="L50" s="16" t="n"/>
    </row>
    <row r="51" ht="24" customHeight="1">
      <c r="A51" s="13" t="n"/>
      <c r="B51" s="13" t="n"/>
      <c r="C51" s="13" t="n"/>
      <c r="D51" s="13" t="n"/>
      <c r="E51" s="13" t="n"/>
      <c r="F51" s="13" t="n"/>
      <c r="G51" s="98" t="n"/>
      <c r="H51" s="13" t="n"/>
      <c r="I51" s="13" t="n"/>
      <c r="J51" s="13" t="n"/>
      <c r="K51" s="98" t="n"/>
      <c r="L51" s="13" t="n"/>
    </row>
    <row r="52" ht="24" customHeight="1">
      <c r="A52" s="16" t="n"/>
      <c r="B52" s="16" t="n"/>
      <c r="C52" s="16" t="n"/>
      <c r="D52" s="16" t="n"/>
      <c r="E52" s="16" t="n"/>
      <c r="F52" s="16" t="n"/>
      <c r="G52" s="99" t="n"/>
      <c r="H52" s="16" t="n"/>
      <c r="I52" s="16" t="n"/>
      <c r="J52" s="16" t="n"/>
      <c r="K52" s="99" t="n"/>
      <c r="L52" s="16" t="n"/>
    </row>
    <row r="53" ht="24" customHeight="1">
      <c r="A53" s="13" t="n"/>
      <c r="B53" s="13" t="n"/>
      <c r="C53" s="13" t="n"/>
      <c r="D53" s="13" t="n"/>
      <c r="E53" s="13" t="n"/>
      <c r="F53" s="13" t="n"/>
      <c r="G53" s="98" t="n"/>
      <c r="H53" s="13" t="n"/>
      <c r="I53" s="13" t="n"/>
      <c r="J53" s="13" t="n"/>
      <c r="K53" s="98" t="n"/>
      <c r="L53" s="13" t="n"/>
    </row>
    <row r="54" ht="24" customHeight="1">
      <c r="A54" s="16" t="n"/>
      <c r="B54" s="16" t="n"/>
      <c r="C54" s="16" t="n"/>
      <c r="D54" s="16" t="n"/>
      <c r="E54" s="16" t="n"/>
      <c r="F54" s="16" t="n"/>
      <c r="G54" s="99" t="n"/>
      <c r="H54" s="16" t="n"/>
      <c r="I54" s="16" t="n"/>
      <c r="J54" s="16" t="n"/>
      <c r="K54" s="99" t="n"/>
      <c r="L54" s="16" t="n"/>
    </row>
    <row r="55" ht="24" customHeight="1">
      <c r="A55" s="13" t="n"/>
      <c r="B55" s="13" t="n"/>
      <c r="C55" s="13" t="n"/>
      <c r="D55" s="13" t="n"/>
      <c r="E55" s="13" t="n"/>
      <c r="F55" s="13" t="n"/>
      <c r="G55" s="98" t="n"/>
      <c r="H55" s="13" t="n"/>
      <c r="I55" s="13" t="n"/>
      <c r="J55" s="13" t="n"/>
      <c r="K55" s="98" t="n"/>
      <c r="L55" s="13" t="n"/>
    </row>
    <row r="56" ht="24" customHeight="1">
      <c r="A56" s="16" t="n"/>
      <c r="B56" s="16" t="n"/>
      <c r="C56" s="16" t="n"/>
      <c r="D56" s="16" t="n"/>
      <c r="E56" s="16" t="n"/>
      <c r="F56" s="16" t="n"/>
      <c r="G56" s="99" t="n"/>
      <c r="H56" s="16" t="n"/>
      <c r="I56" s="16" t="n"/>
      <c r="J56" s="16" t="n"/>
      <c r="K56" s="99" t="n"/>
      <c r="L56" s="16" t="n"/>
    </row>
    <row r="57" ht="24" customHeight="1">
      <c r="A57" s="13" t="n"/>
      <c r="B57" s="13" t="n"/>
      <c r="C57" s="13" t="n"/>
      <c r="D57" s="13" t="n"/>
      <c r="E57" s="13" t="n"/>
      <c r="F57" s="13" t="n"/>
      <c r="G57" s="98" t="n"/>
      <c r="H57" s="13" t="n"/>
      <c r="I57" s="13" t="n"/>
      <c r="J57" s="13" t="n"/>
      <c r="K57" s="98" t="n"/>
      <c r="L57" s="13" t="n"/>
    </row>
    <row r="58" ht="24" customHeight="1">
      <c r="A58" s="16" t="n"/>
      <c r="B58" s="16" t="n"/>
      <c r="C58" s="16" t="n"/>
      <c r="D58" s="16" t="n"/>
      <c r="E58" s="16" t="n"/>
      <c r="F58" s="16" t="n"/>
      <c r="G58" s="99" t="n"/>
      <c r="H58" s="16" t="n"/>
      <c r="I58" s="16" t="n"/>
      <c r="J58" s="16" t="n"/>
      <c r="K58" s="99" t="n"/>
      <c r="L58" s="16" t="n"/>
    </row>
    <row r="59" ht="24" customHeight="1">
      <c r="A59" s="13" t="n"/>
      <c r="B59" s="13" t="n"/>
      <c r="C59" s="13" t="n"/>
      <c r="D59" s="13" t="n"/>
      <c r="E59" s="13" t="n"/>
      <c r="F59" s="13" t="n"/>
      <c r="G59" s="98" t="n"/>
      <c r="H59" s="13" t="n"/>
      <c r="I59" s="13" t="n"/>
      <c r="J59" s="13" t="n"/>
      <c r="K59" s="98" t="n"/>
      <c r="L59" s="13" t="n"/>
    </row>
    <row r="60" ht="24" customHeight="1">
      <c r="A60" s="16" t="n"/>
      <c r="B60" s="16" t="n"/>
      <c r="C60" s="16" t="n"/>
      <c r="D60" s="16" t="n"/>
      <c r="E60" s="16" t="n"/>
      <c r="F60" s="16" t="n"/>
      <c r="G60" s="99" t="n"/>
      <c r="H60" s="16" t="n"/>
      <c r="I60" s="16" t="n"/>
      <c r="J60" s="16" t="n"/>
      <c r="K60" s="99" t="n"/>
      <c r="L60" s="16" t="n"/>
    </row>
    <row r="61" ht="24" customHeight="1">
      <c r="A61" s="13" t="n"/>
      <c r="B61" s="13" t="n"/>
      <c r="C61" s="13" t="n"/>
      <c r="D61" s="13" t="n"/>
      <c r="E61" s="13" t="n"/>
      <c r="F61" s="13" t="n"/>
      <c r="G61" s="98" t="n"/>
      <c r="H61" s="13" t="n"/>
      <c r="I61" s="13" t="n"/>
      <c r="J61" s="13" t="n"/>
      <c r="K61" s="98" t="n"/>
      <c r="L61" s="13" t="n"/>
    </row>
    <row r="62" ht="24" customHeight="1">
      <c r="A62" s="16" t="n"/>
      <c r="B62" s="16" t="n"/>
      <c r="C62" s="16" t="n"/>
      <c r="D62" s="16" t="n"/>
      <c r="E62" s="16" t="n"/>
      <c r="F62" s="16" t="n"/>
      <c r="G62" s="99" t="n"/>
      <c r="H62" s="16" t="n"/>
      <c r="I62" s="16" t="n"/>
      <c r="J62" s="16" t="n"/>
      <c r="K62" s="99" t="n"/>
      <c r="L62" s="16" t="n"/>
    </row>
    <row r="63" ht="15" customHeight="1"/>
    <row r="64" ht="15" customHeight="1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 paperSize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activeCell="A1" sqref="A1"/>
      <selection pane="bottomLeft" activeCell="D7" sqref="D7"/>
    </sheetView>
  </sheetViews>
  <sheetFormatPr baseColWidth="8" defaultColWidth="9" defaultRowHeight="13.5"/>
  <cols>
    <col width="20" customWidth="1" min="1" max="1"/>
    <col width="34" customWidth="1" min="2" max="2"/>
    <col width="48" customWidth="1" min="3" max="3"/>
    <col width="20" customWidth="1" min="4" max="4"/>
    <col width="18" customWidth="1" min="5" max="5"/>
  </cols>
  <sheetData>
    <row r="1" ht="30" customHeight="1">
      <c r="A1" s="7" t="inlineStr">
        <is>
          <t>06｜字段字典与RACI说明</t>
        </is>
      </c>
    </row>
    <row r="2" ht="24" customHeight="1">
      <c r="A2" s="8" t="inlineStr">
        <is>
          <t>本表用于说明字段含义、填写规则和RACI代码；组织架构名称以“02_组织单元”为准，岗位名称可按实际工作自定义。</t>
        </is>
      </c>
    </row>
    <row r="3" ht="8" customHeight="1"/>
    <row r="4" ht="30" customHeight="1">
      <c r="A4" s="9" t="inlineStr">
        <is>
          <t>字段/代码</t>
        </is>
      </c>
      <c r="B4" s="9" t="inlineStr">
        <is>
          <t>含义</t>
        </is>
      </c>
      <c r="C4" s="9" t="inlineStr">
        <is>
          <t>填写规则</t>
        </is>
      </c>
      <c r="D4" s="9" t="inlineStr">
        <is>
          <t>示例</t>
        </is>
      </c>
      <c r="E4" s="9" t="inlineStr">
        <is>
          <t>是否必填</t>
        </is>
      </c>
    </row>
    <row r="5" ht="24" customHeight="1">
      <c r="A5" s="10" t="inlineStr">
        <is>
          <t>员工ID</t>
        </is>
      </c>
      <c r="B5" s="10" t="inlineStr">
        <is>
          <t>人员唯一标识</t>
        </is>
      </c>
      <c r="C5" s="10" t="inlineStr">
        <is>
          <t>建议使用EMP-001格式；离职后不复用</t>
        </is>
      </c>
      <c r="D5" s="10" t="inlineStr">
        <is>
          <t>EMP-001</t>
        </is>
      </c>
      <c r="E5" s="10" t="inlineStr">
        <is>
          <t>是</t>
        </is>
      </c>
    </row>
    <row r="6" ht="24" customHeight="1">
      <c r="A6" s="11" t="inlineStr">
        <is>
          <t>组织单元ID</t>
        </is>
      </c>
      <c r="B6" s="11" t="inlineStr">
        <is>
          <t>部门/班组唯一标识</t>
        </is>
      </c>
      <c r="C6" s="11" t="inlineStr">
        <is>
          <t>建议使用ORG-生产-01格式；不使用简称代替</t>
        </is>
      </c>
      <c r="D6" s="11" t="inlineStr">
        <is>
          <t>ORG-PROD-01</t>
        </is>
      </c>
      <c r="E6" s="11" t="inlineStr">
        <is>
          <t>是</t>
        </is>
      </c>
    </row>
    <row r="7" ht="24" customHeight="1">
      <c r="A7" s="10" t="inlineStr">
        <is>
          <t>岗位ID</t>
        </is>
      </c>
      <c r="B7" s="10" t="inlineStr">
        <is>
          <t>岗位唯一标识</t>
        </is>
      </c>
      <c r="C7" s="10" t="inlineStr">
        <is>
          <t>建议使用POS-部门-序号格式</t>
        </is>
      </c>
      <c r="D7" s="10" t="inlineStr">
        <is>
          <t>POS-PROD-01</t>
        </is>
      </c>
      <c r="E7" s="10" t="inlineStr">
        <is>
          <t>是</t>
        </is>
      </c>
    </row>
    <row r="8" ht="24" customHeight="1">
      <c r="A8" s="11" t="inlineStr">
        <is>
          <t>上级员工ID</t>
        </is>
      </c>
      <c r="B8" s="11" t="inlineStr">
        <is>
          <t>直接汇报对象</t>
        </is>
      </c>
      <c r="C8" s="11" t="inlineStr">
        <is>
          <t>直接汇报对象；公司层级无员工上级时填写“/”；其他人员填写唯一直接上级员工ID。</t>
        </is>
      </c>
      <c r="D8" s="11" t="inlineStr">
        <is>
          <t>/</t>
        </is>
      </c>
      <c r="E8" s="11" t="inlineStr">
        <is>
          <t>是（根节点除外）</t>
        </is>
      </c>
    </row>
    <row r="9" ht="24" customHeight="1">
      <c r="A9" s="10" t="inlineStr">
        <is>
          <t>A</t>
        </is>
      </c>
      <c r="B9" s="10" t="inlineStr">
        <is>
          <t>Accountable，最终负责/批准</t>
        </is>
      </c>
      <c r="C9" s="10" t="inlineStr">
        <is>
          <t>每项活动只能有1个A</t>
        </is>
      </c>
      <c r="D9" s="10" t="inlineStr">
        <is>
          <t>A</t>
        </is>
      </c>
      <c r="E9" s="10" t="inlineStr">
        <is>
          <t>是</t>
        </is>
      </c>
    </row>
    <row r="10" ht="24" customHeight="1">
      <c r="A10" s="11" t="inlineStr">
        <is>
          <t>R</t>
        </is>
      </c>
      <c r="B10" s="11" t="inlineStr">
        <is>
          <t>Responsible，执行责任</t>
        </is>
      </c>
      <c r="C10" s="11" t="inlineStr">
        <is>
          <t>每项活动至少1个R</t>
        </is>
      </c>
      <c r="D10" s="11" t="inlineStr">
        <is>
          <t>R</t>
        </is>
      </c>
      <c r="E10" s="11" t="inlineStr">
        <is>
          <t>是</t>
        </is>
      </c>
    </row>
    <row r="11" ht="24" customHeight="1">
      <c r="A11" s="10" t="inlineStr">
        <is>
          <t>C</t>
        </is>
      </c>
      <c r="B11" s="10" t="inlineStr">
        <is>
          <t>Consulted，事前咨询</t>
        </is>
      </c>
      <c r="C11" s="10" t="inlineStr">
        <is>
          <t>有双向沟通或专业意见输入</t>
        </is>
      </c>
      <c r="D11" s="10" t="inlineStr">
        <is>
          <t>C</t>
        </is>
      </c>
      <c r="E11" s="10" t="inlineStr">
        <is>
          <t>按需</t>
        </is>
      </c>
    </row>
    <row r="12" ht="24" customHeight="1">
      <c r="A12" s="11" t="inlineStr">
        <is>
          <t>I</t>
        </is>
      </c>
      <c r="B12" s="11" t="inlineStr">
        <is>
          <t>Informed，结果知会</t>
        </is>
      </c>
      <c r="C12" s="11" t="inlineStr">
        <is>
          <t>单向通知结果</t>
        </is>
      </c>
      <c r="D12" s="11" t="inlineStr">
        <is>
          <t>I</t>
        </is>
      </c>
      <c r="E12" s="11" t="inlineStr">
        <is>
          <t>按需</t>
        </is>
      </c>
    </row>
    <row r="13" ht="24" customHeight="1">
      <c r="A13" s="10" t="inlineStr">
        <is>
          <t>—</t>
        </is>
      </c>
      <c r="B13" s="10" t="inlineStr">
        <is>
          <t>不参与</t>
        </is>
      </c>
      <c r="C13" s="10" t="inlineStr">
        <is>
          <t>不属于该事项责任范围</t>
        </is>
      </c>
      <c r="D13" s="10" t="inlineStr">
        <is>
          <t>—</t>
        </is>
      </c>
      <c r="E13" s="10" t="inlineStr">
        <is>
          <t>按需</t>
        </is>
      </c>
    </row>
    <row r="14" ht="24" customHeight="1"/>
    <row r="15" ht="24" customHeight="1"/>
    <row r="16" ht="24" customHeight="1"/>
    <row r="17" ht="24" customHeight="1"/>
  </sheetData>
  <mergeCells count="2">
    <mergeCell ref="A2:E2"/>
    <mergeCell ref="A1:E1"/>
  </mergeCells>
  <pageMargins left="0.25" right="0.25" top="0.45" bottom="0.45" header="0.5" footer="0.5"/>
  <pageSetup orientation="landscape" paperSize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3.5"/>
  <cols>
    <col width="14" customWidth="1" min="1" max="14"/>
  </cols>
  <sheetData>
    <row r="1" ht="30" customHeight="1">
      <c r="A1" s="1" t="inlineStr">
        <is>
          <t>组织层级</t>
        </is>
      </c>
      <c r="B1" s="1" t="inlineStr">
        <is>
          <t>人员状态</t>
        </is>
      </c>
      <c r="C1" s="1" t="inlineStr">
        <is>
          <t>任职性质</t>
        </is>
      </c>
      <c r="D1" s="1" t="inlineStr">
        <is>
          <t>关键岗位</t>
        </is>
      </c>
      <c r="E1" s="1" t="inlineStr">
        <is>
          <t>组织类型</t>
        </is>
      </c>
      <c r="F1" s="1" t="inlineStr">
        <is>
          <t>组织状态</t>
        </is>
      </c>
      <c r="G1" s="1" t="inlineStr">
        <is>
          <t>岗位状态</t>
        </is>
      </c>
      <c r="H1" s="1" t="inlineStr">
        <is>
          <t>管理域</t>
        </is>
      </c>
      <c r="I1" s="1" t="inlineStr">
        <is>
          <t>RACI</t>
        </is>
      </c>
      <c r="J1" s="1" t="inlineStr">
        <is>
          <t>确认状态</t>
        </is>
      </c>
      <c r="K1" s="2" t="inlineStr">
        <is>
          <t>部门名称</t>
        </is>
      </c>
      <c r="L1" s="1" t="inlineStr">
        <is>
          <t>组织单元</t>
        </is>
      </c>
      <c r="M1" s="2" t="inlineStr">
        <is>
          <t>岗位名称</t>
        </is>
      </c>
      <c r="N1" s="2" t="inlineStr">
        <is>
          <t>管理确认人</t>
        </is>
      </c>
    </row>
    <row r="2" ht="24" customHeight="1">
      <c r="A2" s="3" t="inlineStr">
        <is>
          <t>公司负责人</t>
        </is>
      </c>
      <c r="B2" s="3" t="inlineStr">
        <is>
          <t>在岗</t>
        </is>
      </c>
      <c r="C2" s="3" t="inlineStr">
        <is>
          <t>正式员工</t>
        </is>
      </c>
      <c r="D2" s="3" t="inlineStr">
        <is>
          <t>是</t>
        </is>
      </c>
      <c r="E2" s="3" t="inlineStr">
        <is>
          <t>公司</t>
        </is>
      </c>
      <c r="F2" s="3" t="inlineStr">
        <is>
          <t>现行</t>
        </is>
      </c>
      <c r="G2" s="3" t="inlineStr">
        <is>
          <t>现行</t>
        </is>
      </c>
      <c r="H2" s="3" t="inlineStr">
        <is>
          <t>组织管理</t>
        </is>
      </c>
      <c r="I2" s="3" t="inlineStr">
        <is>
          <t>A</t>
        </is>
      </c>
      <c r="J2" s="3" t="inlineStr">
        <is>
          <t>未确认</t>
        </is>
      </c>
      <c r="K2" s="4" t="inlineStr">
        <is>
          <t>生产部</t>
        </is>
      </c>
      <c r="L2" s="3" t="inlineStr">
        <is>
          <t>惠州市鑫犇电子有限公司</t>
        </is>
      </c>
      <c r="M2" s="4" t="inlineStr">
        <is>
          <t>董事长</t>
        </is>
      </c>
      <c r="N2" s="4" t="inlineStr">
        <is>
          <t>董事长</t>
        </is>
      </c>
    </row>
    <row r="3" ht="8" customHeight="1">
      <c r="A3" s="3" t="inlineStr">
        <is>
          <t>部门负责人</t>
        </is>
      </c>
      <c r="B3" s="3" t="inlineStr">
        <is>
          <t>试用</t>
        </is>
      </c>
      <c r="C3" s="3" t="inlineStr">
        <is>
          <t>试用员工</t>
        </is>
      </c>
      <c r="D3" s="3" t="inlineStr">
        <is>
          <t>否</t>
        </is>
      </c>
      <c r="E3" s="3" t="inlineStr">
        <is>
          <t>部门</t>
        </is>
      </c>
      <c r="F3" s="3" t="inlineStr">
        <is>
          <t>筹备</t>
        </is>
      </c>
      <c r="G3" s="3" t="inlineStr">
        <is>
          <t>筹备</t>
        </is>
      </c>
      <c r="H3" s="3" t="inlineStr">
        <is>
          <t>经营管理</t>
        </is>
      </c>
      <c r="I3" s="3" t="inlineStr">
        <is>
          <t>R</t>
        </is>
      </c>
      <c r="J3" s="3" t="inlineStr">
        <is>
          <t>讨论中</t>
        </is>
      </c>
      <c r="K3" s="4" t="inlineStr">
        <is>
          <t>品质部</t>
        </is>
      </c>
      <c r="L3" s="3" t="inlineStr">
        <is>
          <t>总经理</t>
        </is>
      </c>
      <c r="M3" s="4" t="inlineStr">
        <is>
          <t>总经理</t>
        </is>
      </c>
      <c r="N3" s="4" t="inlineStr">
        <is>
          <t>总经理</t>
        </is>
      </c>
    </row>
    <row r="4" ht="30" customHeight="1">
      <c r="A4" s="5" t="inlineStr">
        <is>
          <t>班组长</t>
        </is>
      </c>
      <c r="B4" s="5" t="inlineStr">
        <is>
          <t>停薪留职</t>
        </is>
      </c>
      <c r="C4" s="5" t="inlineStr">
        <is>
          <t>兼职/兼任</t>
        </is>
      </c>
      <c r="D4" s="5" t="inlineStr">
        <is>
          <t>待确认</t>
        </is>
      </c>
      <c r="E4" s="5" t="inlineStr">
        <is>
          <t>班组</t>
        </is>
      </c>
      <c r="F4" s="5" t="inlineStr">
        <is>
          <t>规划</t>
        </is>
      </c>
      <c r="G4" s="5" t="inlineStr">
        <is>
          <t>规划</t>
        </is>
      </c>
      <c r="H4" s="5" t="inlineStr">
        <is>
          <t>客户/订单</t>
        </is>
      </c>
      <c r="I4" s="5" t="inlineStr">
        <is>
          <t>C</t>
        </is>
      </c>
      <c r="J4" s="5" t="inlineStr">
        <is>
          <t>已确认</t>
        </is>
      </c>
      <c r="K4" s="6" t="inlineStr">
        <is>
          <t>营运部</t>
        </is>
      </c>
      <c r="L4" s="5" t="inlineStr">
        <is>
          <t>生产部</t>
        </is>
      </c>
      <c r="M4" s="6" t="inlineStr">
        <is>
          <t>生产部负责人</t>
        </is>
      </c>
      <c r="N4" s="6" t="inlineStr">
        <is>
          <t>公司负责人</t>
        </is>
      </c>
    </row>
    <row r="5" ht="24" customHeight="1">
      <c r="A5" s="3" t="inlineStr">
        <is>
          <t>专业岗位</t>
        </is>
      </c>
      <c r="B5" s="3" t="inlineStr">
        <is>
          <t>离职交接</t>
        </is>
      </c>
      <c r="C5" s="3" t="inlineStr">
        <is>
          <t>外包/临时</t>
        </is>
      </c>
      <c r="E5" s="3" t="inlineStr">
        <is>
          <t>职能单元</t>
        </is>
      </c>
      <c r="F5" s="3" t="inlineStr">
        <is>
          <t>停用</t>
        </is>
      </c>
      <c r="G5" s="3" t="inlineStr">
        <is>
          <t>停用</t>
        </is>
      </c>
      <c r="H5" s="3" t="inlineStr">
        <is>
          <t>产品/技术</t>
        </is>
      </c>
      <c r="I5" s="3" t="inlineStr">
        <is>
          <t>I</t>
        </is>
      </c>
      <c r="J5" s="3" t="inlineStr">
        <is>
          <t>暂缓</t>
        </is>
      </c>
      <c r="K5" s="4" t="inlineStr">
        <is>
          <t>行政部</t>
        </is>
      </c>
      <c r="L5" s="3" t="inlineStr">
        <is>
          <t>工程技术组</t>
        </is>
      </c>
      <c r="M5" s="4" t="inlineStr">
        <is>
          <t>品质部负责人</t>
        </is>
      </c>
      <c r="N5" s="4" t="inlineStr">
        <is>
          <t>生产部负责人</t>
        </is>
      </c>
    </row>
    <row r="6" ht="24" customHeight="1">
      <c r="A6" s="3" t="inlineStr">
        <is>
          <t>操作岗位</t>
        </is>
      </c>
      <c r="B6" s="3" t="inlineStr">
        <is>
          <t>已离职</t>
        </is>
      </c>
      <c r="C6" s="3" t="inlineStr">
        <is>
          <t>待确认</t>
        </is>
      </c>
      <c r="E6" s="3" t="inlineStr">
        <is>
          <t>岗位单元</t>
        </is>
      </c>
      <c r="F6" s="3" t="inlineStr">
        <is>
          <t>待确认</t>
        </is>
      </c>
      <c r="G6" s="3" t="inlineStr">
        <is>
          <t>待确认</t>
        </is>
      </c>
      <c r="H6" s="3" t="inlineStr">
        <is>
          <t>生产</t>
        </is>
      </c>
      <c r="I6" s="3" t="inlineStr">
        <is>
          <t>—</t>
        </is>
      </c>
      <c r="J6" s="3" t="inlineStr">
        <is>
          <t>取消</t>
        </is>
      </c>
      <c r="K6" s="4" t="inlineStr">
        <is>
          <t>财务部</t>
        </is>
      </c>
      <c r="L6" s="3" t="inlineStr">
        <is>
          <t>生产车间</t>
        </is>
      </c>
      <c r="M6" s="4" t="inlineStr">
        <is>
          <t>营运部负责人</t>
        </is>
      </c>
      <c r="N6" s="4" t="inlineStr">
        <is>
          <t>品质部负责人</t>
        </is>
      </c>
    </row>
    <row r="7" ht="24" customHeight="1">
      <c r="A7" s="3" t="inlineStr">
        <is>
          <t>辅助岗位</t>
        </is>
      </c>
      <c r="B7" s="3" t="inlineStr">
        <is>
          <t>待确认</t>
        </is>
      </c>
      <c r="E7" s="3" t="inlineStr">
        <is>
          <t>项目组</t>
        </is>
      </c>
      <c r="H7" s="3" t="inlineStr">
        <is>
          <t>模具/设备</t>
        </is>
      </c>
      <c r="K7" s="4" t="inlineStr">
        <is>
          <t>公司治理</t>
        </is>
      </c>
      <c r="L7" s="3" t="inlineStr">
        <is>
          <t>模具维修组</t>
        </is>
      </c>
      <c r="M7" s="4" t="inlineStr">
        <is>
          <t>行政部负责人</t>
        </is>
      </c>
      <c r="N7" s="4" t="inlineStr">
        <is>
          <t>营运部负责人</t>
        </is>
      </c>
    </row>
    <row r="8" ht="24" customHeight="1">
      <c r="A8" s="3" t="inlineStr">
        <is>
          <t>待确认</t>
        </is>
      </c>
      <c r="E8" s="3" t="inlineStr">
        <is>
          <t>其他</t>
        </is>
      </c>
      <c r="H8" s="3" t="inlineStr">
        <is>
          <t>质量</t>
        </is>
      </c>
      <c r="K8" s="4" t="inlineStr">
        <is>
          <t>待确认</t>
        </is>
      </c>
      <c r="L8" s="3" t="inlineStr">
        <is>
          <t>品质部</t>
        </is>
      </c>
      <c r="M8" s="4" t="inlineStr">
        <is>
          <t>财务部负责人</t>
        </is>
      </c>
      <c r="N8" s="4" t="inlineStr">
        <is>
          <t>行政部负责人</t>
        </is>
      </c>
    </row>
    <row r="9" ht="24" customHeight="1">
      <c r="E9" s="3" t="inlineStr">
        <is>
          <t>科室</t>
        </is>
      </c>
      <c r="H9" s="3" t="inlineStr">
        <is>
          <t>行政/人事</t>
        </is>
      </c>
      <c r="L9" s="3" t="inlineStr">
        <is>
          <t>成品出货检验组</t>
        </is>
      </c>
      <c r="M9" s="4" t="inlineStr">
        <is>
          <t>品质经理</t>
        </is>
      </c>
      <c r="N9" s="4" t="inlineStr">
        <is>
          <t>财务部负责人</t>
        </is>
      </c>
    </row>
    <row r="10" ht="24" customHeight="1">
      <c r="H10" s="3" t="inlineStr">
        <is>
          <t>采购/供应商</t>
        </is>
      </c>
      <c r="L10" s="3" t="inlineStr">
        <is>
          <t>成品出货检验组</t>
        </is>
      </c>
      <c r="M10" s="4" t="inlineStr">
        <is>
          <t>工程</t>
        </is>
      </c>
      <c r="N10" s="4" t="inlineStr">
        <is>
          <t>待确认</t>
        </is>
      </c>
    </row>
    <row r="11" ht="24" customHeight="1">
      <c r="H11" s="3" t="inlineStr">
        <is>
          <t>交付</t>
        </is>
      </c>
      <c r="L11" s="3" t="inlineStr">
        <is>
          <t>营运部</t>
        </is>
      </c>
      <c r="M11" s="4" t="inlineStr">
        <is>
          <t>品检</t>
        </is>
      </c>
    </row>
    <row r="12" ht="24" customHeight="1">
      <c r="H12" s="3" t="inlineStr">
        <is>
          <t>改善/审核</t>
        </is>
      </c>
      <c r="L12" s="3" t="inlineStr">
        <is>
          <t>业务组</t>
        </is>
      </c>
      <c r="M12" s="4" t="inlineStr">
        <is>
          <t>质检</t>
        </is>
      </c>
    </row>
    <row r="13" ht="24" customHeight="1">
      <c r="H13" s="3" t="inlineStr">
        <is>
          <t>财务</t>
        </is>
      </c>
      <c r="L13" s="3" t="inlineStr">
        <is>
          <t>采购组</t>
        </is>
      </c>
      <c r="M13" s="4" t="inlineStr">
        <is>
          <t>巡检工</t>
        </is>
      </c>
    </row>
    <row r="14" ht="24" customHeight="1">
      <c r="H14" s="3" t="inlineStr">
        <is>
          <t>其他</t>
        </is>
      </c>
      <c r="L14" s="3" t="inlineStr">
        <is>
          <t>仓储组</t>
        </is>
      </c>
      <c r="M14" s="4" t="inlineStr">
        <is>
          <t>冲床操作工</t>
        </is>
      </c>
    </row>
    <row r="15" ht="24" customHeight="1">
      <c r="L15" s="3" t="inlineStr">
        <is>
          <t>行政部</t>
        </is>
      </c>
      <c r="M15" s="4" t="inlineStr">
        <is>
          <t>产品清洗工</t>
        </is>
      </c>
    </row>
    <row r="16" ht="24" customHeight="1">
      <c r="L16" s="3" t="inlineStr">
        <is>
          <t>人事组</t>
        </is>
      </c>
      <c r="M16" s="4" t="inlineStr">
        <is>
          <t>包装部</t>
        </is>
      </c>
    </row>
    <row r="17" ht="24" customHeight="1">
      <c r="L17" s="3" t="inlineStr">
        <is>
          <t>后勤组</t>
        </is>
      </c>
      <c r="M17" s="4" t="inlineStr">
        <is>
          <t>仓库</t>
        </is>
      </c>
    </row>
    <row r="18" ht="24" customHeight="1">
      <c r="L18" s="3" t="inlineStr">
        <is>
          <t>财务部</t>
        </is>
      </c>
      <c r="M18" s="4" t="inlineStr">
        <is>
          <t>模具维修技术工</t>
        </is>
      </c>
    </row>
    <row r="19" ht="24" customHeight="1">
      <c r="L19" s="3" t="inlineStr">
        <is>
          <t>会计组</t>
        </is>
      </c>
      <c r="M19" s="4" t="inlineStr">
        <is>
          <t>模具维修工</t>
        </is>
      </c>
    </row>
    <row r="20" ht="24" customHeight="1">
      <c r="L20" s="3" t="inlineStr">
        <is>
          <t>出纳组</t>
        </is>
      </c>
      <c r="M20" s="4" t="inlineStr">
        <is>
          <t>模具学徒</t>
        </is>
      </c>
    </row>
    <row r="21" ht="24" customHeight="1">
      <c r="L21" s="3" t="inlineStr">
        <is>
          <t>待确认</t>
        </is>
      </c>
      <c r="M21" s="4" t="inlineStr">
        <is>
          <t>办公文员</t>
        </is>
      </c>
    </row>
    <row r="22" ht="24" customHeight="1">
      <c r="M22" s="4" t="inlineStr">
        <is>
          <t>食堂</t>
        </is>
      </c>
    </row>
    <row r="23" ht="24" customHeight="1">
      <c r="M23" s="4" t="inlineStr">
        <is>
          <t>保安</t>
        </is>
      </c>
    </row>
    <row r="24" ht="24" customHeight="1">
      <c r="M24" s="4" t="inlineStr">
        <is>
          <t>门卫</t>
        </is>
      </c>
    </row>
    <row r="25" ht="24" customHeight="1">
      <c r="M25" s="4" t="inlineStr">
        <is>
          <t>财务</t>
        </is>
      </c>
    </row>
    <row r="26" ht="24" customHeight="1">
      <c r="M26" s="4" t="inlineStr">
        <is>
          <t>清洗主管</t>
        </is>
      </c>
    </row>
    <row r="27" ht="24" customHeight="1">
      <c r="M27" s="4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2026-10-09T04:10:14Z</dcterms:modified>
  <cp:lastModifiedBy>自由飞翔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E474395F7E3D4621A48D38221E5BE75D_13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