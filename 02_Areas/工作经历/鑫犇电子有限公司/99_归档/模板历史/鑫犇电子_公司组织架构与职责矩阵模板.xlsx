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bf742cb9752a198/notebook/02_Areas/工作经历/鑫犇电子有限公司/00_公司治理/"/>
    </mc:Choice>
  </mc:AlternateContent>
  <xr:revisionPtr revIDLastSave="16" documentId="11_210A82B947B6483D6A19CFCD3D42BBE54335F9F8" xr6:coauthVersionLast="47" xr6:coauthVersionMax="47" xr10:uidLastSave="{C1C6DE52-A319-48AF-BCFC-AA928814A7FB}"/>
  <bookViews>
    <workbookView xWindow="-108" yWindow="-108" windowWidth="30936" windowHeight="18696" activeTab="1" xr2:uid="{00000000-000D-0000-FFFF-FFFF00000000}"/>
  </bookViews>
  <sheets>
    <sheet name="00_总览与说明" sheetId="1" r:id="rId1"/>
    <sheet name="01_组织架构图" sheetId="2" r:id="rId2"/>
    <sheet name="01_员工名单" sheetId="3" r:id="rId3"/>
    <sheet name="02_组织单元" sheetId="4" r:id="rId4"/>
    <sheet name="03_岗位字典" sheetId="5" r:id="rId5"/>
    <sheet name="04_RACI职责矩阵" sheetId="6" r:id="rId6"/>
    <sheet name="05_确认清单" sheetId="7" r:id="rId7"/>
    <sheet name="06_字段字典" sheetId="8" r:id="rId8"/>
    <sheet name="99_选项字典" sheetId="9" state="hidden" r:id="rId9"/>
  </sheets>
  <definedNames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6" i="6" l="1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U27" i="6"/>
  <c r="T27" i="6"/>
  <c r="V27" i="6" s="1"/>
  <c r="U26" i="6"/>
  <c r="T26" i="6"/>
  <c r="U25" i="6"/>
  <c r="T25" i="6"/>
  <c r="U24" i="6"/>
  <c r="T24" i="6"/>
  <c r="U23" i="6"/>
  <c r="T23" i="6"/>
  <c r="U22" i="6"/>
  <c r="T22" i="6"/>
  <c r="U21" i="6"/>
  <c r="T21" i="6"/>
  <c r="U20" i="6"/>
  <c r="T20" i="6"/>
  <c r="U19" i="6"/>
  <c r="T19" i="6"/>
  <c r="U18" i="6"/>
  <c r="T18" i="6"/>
  <c r="U17" i="6"/>
  <c r="T17" i="6"/>
  <c r="U16" i="6"/>
  <c r="T16" i="6"/>
  <c r="U15" i="6"/>
  <c r="T15" i="6"/>
  <c r="U14" i="6"/>
  <c r="T14" i="6"/>
  <c r="U13" i="6"/>
  <c r="T13" i="6"/>
  <c r="U12" i="6"/>
  <c r="T12" i="6"/>
  <c r="U11" i="6"/>
  <c r="T11" i="6"/>
  <c r="U10" i="6"/>
  <c r="T10" i="6"/>
  <c r="V10" i="6" s="1"/>
  <c r="U9" i="6"/>
  <c r="T9" i="6"/>
  <c r="U8" i="6"/>
  <c r="T8" i="6"/>
  <c r="U7" i="6"/>
  <c r="T7" i="6"/>
  <c r="U6" i="6"/>
  <c r="T6" i="6"/>
  <c r="U5" i="6"/>
  <c r="T5" i="6"/>
  <c r="V5" i="6" s="1"/>
  <c r="B27" i="1"/>
  <c r="B26" i="1"/>
  <c r="B25" i="1"/>
  <c r="B24" i="1"/>
  <c r="B23" i="1"/>
  <c r="V20" i="6" l="1"/>
  <c r="V18" i="6"/>
  <c r="V11" i="6"/>
  <c r="V23" i="6"/>
  <c r="V26" i="6"/>
  <c r="V17" i="6"/>
  <c r="V24" i="6"/>
  <c r="V21" i="6"/>
  <c r="V22" i="6"/>
  <c r="V13" i="6"/>
  <c r="V12" i="6"/>
  <c r="V9" i="6"/>
  <c r="V7" i="6"/>
  <c r="V15" i="6"/>
  <c r="V8" i="6"/>
  <c r="V19" i="6"/>
  <c r="V16" i="6"/>
  <c r="V6" i="6"/>
  <c r="V25" i="6"/>
  <c r="V14" i="6"/>
  <c r="B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Hermes</author>
  </authors>
  <commentList>
    <comment ref="A4" authorId="0" shapeId="0" xr:uid="{00000000-0006-0000-0200-000001000000}">
      <text>
        <r>
          <rPr>
            <sz val="11"/>
            <color theme="1"/>
            <rFont val="宋体"/>
            <charset val="134"/>
            <scheme val="minor"/>
          </rPr>
          <t>脱敏治理字段；完整敏感资料见 04_行政部/人事/鑫犇人员主数据.xlsx</t>
        </r>
      </text>
    </comment>
    <comment ref="B4" authorId="0" shapeId="0" xr:uid="{00000000-0006-0000-0200-000002000000}">
      <text>
        <r>
          <rPr>
            <sz val="11"/>
            <color theme="1"/>
            <rFont val="宋体"/>
            <charset val="134"/>
            <scheme val="minor"/>
          </rPr>
          <t>脱敏治理字段；完整敏感资料见 04_行政部/人事/鑫犇人员主数据.xlsx</t>
        </r>
      </text>
    </comment>
    <comment ref="C4" authorId="0" shapeId="0" xr:uid="{00000000-0006-0000-0200-000003000000}">
      <text>
        <r>
          <rPr>
            <sz val="11"/>
            <color theme="1"/>
            <rFont val="宋体"/>
            <charset val="134"/>
            <scheme val="minor"/>
          </rPr>
          <t>脱敏治理字段；完整敏感资料见 04_行政部/人事/鑫犇人员主数据.xlsx</t>
        </r>
      </text>
    </comment>
    <comment ref="D4" authorId="0" shapeId="0" xr:uid="{00000000-0006-0000-0200-000004000000}">
      <text>
        <r>
          <rPr>
            <sz val="11"/>
            <color theme="1"/>
            <rFont val="宋体"/>
            <charset val="134"/>
            <scheme val="minor"/>
          </rPr>
          <t>脱敏治理字段；完整敏感资料见 04_行政部/人事/鑫犇人员主数据.xlsx</t>
        </r>
      </text>
    </comment>
    <comment ref="E4" authorId="0" shapeId="0" xr:uid="{00000000-0006-0000-0200-000005000000}">
      <text>
        <r>
          <rPr>
            <sz val="11"/>
            <color theme="1"/>
            <rFont val="宋体"/>
            <charset val="134"/>
            <scheme val="minor"/>
          </rPr>
          <t>兼岗不写入主岗位名称；岗位名称必须与03_岗位字典完全一致。</t>
        </r>
      </text>
    </comment>
    <comment ref="F4" authorId="0" shapeId="0" xr:uid="{00000000-0006-0000-0200-000006000000}">
      <text>
        <r>
          <rPr>
            <sz val="11"/>
            <color theme="1"/>
            <rFont val="宋体"/>
            <charset val="134"/>
            <scheme val="minor"/>
          </rPr>
          <t>按要求与组织单元名称保持一致。</t>
        </r>
      </text>
    </comment>
    <comment ref="G4" authorId="0" shapeId="0" xr:uid="{00000000-0006-0000-0200-000007000000}">
      <text>
        <r>
          <rPr>
            <sz val="11"/>
            <color theme="1"/>
            <rFont val="宋体"/>
            <charset val="134"/>
            <scheme val="minor"/>
          </rPr>
          <t>仅允许：外聘、正式、试用。</t>
        </r>
      </text>
    </comment>
    <comment ref="H4" authorId="0" shapeId="0" xr:uid="{00000000-0006-0000-0200-000008000000}">
      <text>
        <r>
          <rPr>
            <sz val="11"/>
            <color theme="1"/>
            <rFont val="宋体"/>
            <charset val="134"/>
            <scheme val="minor"/>
          </rPr>
          <t>脱敏治理字段；完整敏感资料见 04_行政部/人事/鑫犇人员主数据.xlsx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Hermes</author>
  </authors>
  <commentList>
    <comment ref="B4" authorId="0" shapeId="0" xr:uid="{00000000-0006-0000-0300-000001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C4" authorId="0" shapeId="0" xr:uid="{00000000-0006-0000-0300-000002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G4" authorId="0" shapeId="0" xr:uid="{00000000-0006-0000-0300-000003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Hermes</author>
  </authors>
  <commentList>
    <comment ref="B4" authorId="0" shapeId="0" xr:uid="{00000000-0006-0000-0400-000001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C4" authorId="0" shapeId="0" xr:uid="{00000000-0006-0000-0400-000002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D4" authorId="0" shapeId="0" xr:uid="{00000000-0006-0000-0400-000003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E4" authorId="0" shapeId="0" xr:uid="{00000000-0006-0000-0400-000004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Hermes</author>
  </authors>
  <commentList>
    <comment ref="B4" authorId="0" shapeId="0" xr:uid="{00000000-0006-0000-0500-000001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G4" authorId="0" shapeId="0" xr:uid="{00000000-0006-0000-0500-000002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H4" authorId="0" shapeId="0" xr:uid="{00000000-0006-0000-0500-000003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I4" authorId="0" shapeId="0" xr:uid="{00000000-0006-0000-0500-000004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J4" authorId="0" shapeId="0" xr:uid="{00000000-0006-0000-0500-000005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K4" authorId="0" shapeId="0" xr:uid="{00000000-0006-0000-0500-000006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L4" authorId="0" shapeId="0" xr:uid="{00000000-0006-0000-0500-000007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M4" authorId="0" shapeId="0" xr:uid="{00000000-0006-0000-0500-000008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N4" authorId="0" shapeId="0" xr:uid="{00000000-0006-0000-0500-000009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O4" authorId="0" shapeId="0" xr:uid="{00000000-0006-0000-0500-00000A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P4" authorId="0" shapeId="0" xr:uid="{00000000-0006-0000-0500-00000B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R4" authorId="0" shapeId="0" xr:uid="{00000000-0006-0000-0500-00000C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S4" authorId="0" shapeId="0" xr:uid="{00000000-0006-0000-0500-00000D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Hermes</author>
  </authors>
  <commentList>
    <comment ref="D4" authorId="0" shapeId="0" xr:uid="{00000000-0006-0000-0600-000001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  <comment ref="E4" authorId="0" shapeId="0" xr:uid="{00000000-0006-0000-0600-000002000000}">
      <text>
        <r>
          <rPr>
            <sz val="11"/>
            <color theme="1"/>
            <rFont val="宋体"/>
            <charset val="134"/>
            <scheme val="minor"/>
          </rPr>
          <t>下拉选择字段；不要手工改写标准名称。</t>
        </r>
      </text>
    </comment>
  </commentList>
</comments>
</file>

<file path=xl/sharedStrings.xml><?xml version="1.0" encoding="utf-8"?>
<sst xmlns="http://schemas.openxmlformats.org/spreadsheetml/2006/main" count="1699" uniqueCount="783">
  <si>
    <t>02｜组织单元主数据</t>
  </si>
  <si>
    <t>部门、班组、项目组统一作为组织单元管理。先区分“当前存在”和“规划/筹备”，不要把未来部门直接画进现行组织架构。</t>
  </si>
  <si>
    <t>填写口径：主要输出物改为本组织单元每月向上一级提交的管理结果、分析报告或汇总表；原始单据作为支撑资料，不作为月度汇报物。</t>
  </si>
  <si>
    <t>月度汇报对象</t>
  </si>
  <si>
    <t>月度汇报周期</t>
  </si>
  <si>
    <t>月度汇报文件/结果</t>
  </si>
  <si>
    <t>组织单元ID*</t>
  </si>
  <si>
    <t>组织单元名称*</t>
  </si>
  <si>
    <t>组织类型</t>
  </si>
  <si>
    <t>上级组织单元ID</t>
  </si>
  <si>
    <t>负责人员工ID</t>
  </si>
  <si>
    <t>负责人姓名（可选）</t>
  </si>
  <si>
    <t>组织状态</t>
  </si>
  <si>
    <t>现有人数</t>
  </si>
  <si>
    <t>计划编制</t>
  </si>
  <si>
    <t>核心定位</t>
  </si>
  <si>
    <t>主要输出物</t>
  </si>
  <si>
    <t>备注</t>
  </si>
  <si>
    <t>ORG-OPS-WH</t>
  </si>
  <si>
    <t>仓管</t>
  </si>
  <si>
    <t>职能单元</t>
  </si>
  <si>
    <t>ORG-OPS</t>
  </si>
  <si>
    <t>EMP-0013</t>
  </si>
  <si>
    <t>王珊兰</t>
  </si>
  <si>
    <t>现行</t>
  </si>
  <si>
    <t>仓储管理单元</t>
  </si>
  <si>
    <t>物料出入库单据、出入库存台账（包括纸质和电子台账）、出入库存立牌、季度盘点表</t>
  </si>
  <si>
    <t>营运部负责人</t>
  </si>
  <si>
    <t>每月2日前</t>
  </si>
  <si>
    <t>月度库存汇总、出入库汇总、盘点差异表、呆滞物料清单、库存预警清单</t>
  </si>
  <si>
    <t>ORG-OPS-PK</t>
  </si>
  <si>
    <t>包装</t>
  </si>
  <si>
    <t>成品标识标签、余料出入库台账、台秤校验记录</t>
  </si>
  <si>
    <t>月度包装完成量、出货包装异常、包装材料使用汇总、标签/包装差错汇总</t>
  </si>
  <si>
    <t>ORG-OPS-PUR</t>
  </si>
  <si>
    <t>采购</t>
  </si>
  <si>
    <t>EMP-0016</t>
  </si>
  <si>
    <t>尹杰</t>
  </si>
  <si>
    <t>采购单元</t>
  </si>
  <si>
    <t>采购订单、询比价记录、采购交期跟进台账、来料异常记录</t>
  </si>
  <si>
    <t>月度采购完成情况、供应商交期达成率、采购价格变化、来料异常汇总、待采购物料清单</t>
  </si>
  <si>
    <t>ORG-OPS-BIZ</t>
  </si>
  <si>
    <t>业务</t>
  </si>
  <si>
    <t>EMP-0015</t>
  </si>
  <si>
    <t>王秋红</t>
  </si>
  <si>
    <t>业务单元</t>
  </si>
  <si>
    <t>订单评审记录、订单台账、客户沟通记录、出货通知单</t>
  </si>
  <si>
    <t>月度订单台账、订单交期达成率、客户投诉与需求汇总、未交付订单清单、下月订单预测</t>
  </si>
  <si>
    <t>ORG-ADM-LOG</t>
  </si>
  <si>
    <t>后勤</t>
  </si>
  <si>
    <t>ORG-ADM</t>
  </si>
  <si>
    <t>EMP-0020</t>
  </si>
  <si>
    <t>王勇</t>
  </si>
  <si>
    <t>后勤保障单元</t>
  </si>
  <si>
    <t>访客出入登记本、厂区巡逻记录、食堂消毒记录</t>
  </si>
  <si>
    <t>行政部负责人</t>
  </si>
  <si>
    <t>月度门卫与访客情况、食堂费用/卫生情况、后勤维修事项、安全及环境异常汇总</t>
  </si>
  <si>
    <t>ORG-ADM-HR</t>
  </si>
  <si>
    <t>人事</t>
  </si>
  <si>
    <t>人事管理单元</t>
  </si>
  <si>
    <t>员工人事档案、入离职表单、月度考勤汇总表、招聘台账、社保办理记录</t>
  </si>
  <si>
    <t>月度人员花名册、入离职汇总、考勤异常、招聘进度、培训与社保办理情况</t>
  </si>
  <si>
    <t>ORG-ROOT</t>
  </si>
  <si>
    <t>惠州市鑫犇电子有限公司</t>
  </si>
  <si>
    <t>公司</t>
  </si>
  <si>
    <t>EMP-0019</t>
  </si>
  <si>
    <t>王晓华</t>
  </si>
  <si>
    <t>公司主体</t>
  </si>
  <si>
    <t>年度经营目标、重大审批记录、公司级制度文件、组织架构总文件、ISO9001质量体系文件</t>
  </si>
  <si>
    <t>董事长</t>
  </si>
  <si>
    <t>每月5日前</t>
  </si>
  <si>
    <t>月度经营分析报告、重大事项审批清单、组织与授权变更记录、质量体系运行报告</t>
  </si>
  <si>
    <t>ORG-QA</t>
  </si>
  <si>
    <t>品质部</t>
  </si>
  <si>
    <t>部门</t>
  </si>
  <si>
    <t>EMP-0017</t>
  </si>
  <si>
    <t>李天友</t>
  </si>
  <si>
    <t>品质管理部门</t>
  </si>
  <si>
    <t>IQC来料检验报告、制程/终检检验记录、不合格品处置记录、客诉闭环报告、量具校准台账、受控质量文件</t>
  </si>
  <si>
    <t>总经理</t>
  </si>
  <si>
    <t>每月3日前</t>
  </si>
  <si>
    <t>月度质量报告、来料/制程/出货不良分析、客户投诉闭环情况、质量异常汇总、纠正预防措施跟踪</t>
  </si>
  <si>
    <t>ORG-PROD</t>
  </si>
  <si>
    <t>生产部</t>
  </si>
  <si>
    <t>EMP-0001</t>
  </si>
  <si>
    <t>王小平</t>
  </si>
  <si>
    <t>生产管理部门</t>
  </si>
  <si>
    <t>生产任务单、日产量报表、设备日点检汇总表、生产异常记录</t>
  </si>
  <si>
    <t>月度生产完成报告、产量与达成率分析、生产异常汇总、设备与安全5S问题汇总、下月生产计划</t>
  </si>
  <si>
    <t>营运部</t>
  </si>
  <si>
    <t>运营管理部门</t>
  </si>
  <si>
    <t>订单评审文件、原材料采购申购单、仓储盘点汇总、出货检测报告</t>
  </si>
  <si>
    <t>月度订单执行报告、客户交期达成情况、采购交期异常、库存与出货协调情况、重点客户事项</t>
  </si>
  <si>
    <t>ORG-FIN</t>
  </si>
  <si>
    <t>财务部</t>
  </si>
  <si>
    <t>财务管理部门</t>
  </si>
  <si>
    <t>会计凭证、月度财务报表、税务申报表、资金计划、付款审批记录、成本分析报告</t>
  </si>
  <si>
    <t>董事长、总经理</t>
  </si>
  <si>
    <t>月度财务报表、资金收支汇总、应收应付情况、成本分析、税务事项、资金风险提示</t>
  </si>
  <si>
    <t>行政部</t>
  </si>
  <si>
    <t>行政管理部门</t>
  </si>
  <si>
    <t>文件员工档案、安全管理台账、安全教育培训台账、后勤管理记录、招聘/离职资料、</t>
  </si>
  <si>
    <t>月度人事行政报告、人员异动、考勤汇总、招聘进度、培训完成情况、安全后勤事项</t>
  </si>
  <si>
    <t>ORG-QA-QC</t>
  </si>
  <si>
    <t>质检班组</t>
  </si>
  <si>
    <t>班组</t>
  </si>
  <si>
    <t>EMP-0002</t>
  </si>
  <si>
    <t>王立芳</t>
  </si>
  <si>
    <t>质量检验单元</t>
  </si>
  <si>
    <t>质量检验记录、首检记录、制程巡检记录、终检记录、不合格标识记录</t>
  </si>
  <si>
    <t>品质部负责人</t>
  </si>
  <si>
    <t>月度检验完成汇总、来料/制程/终检不良统计、首检与巡检异常汇总、检验员工作量统计</t>
  </si>
  <si>
    <t>ORG-PROD-WORK</t>
  </si>
  <si>
    <t>生产车间</t>
  </si>
  <si>
    <t>生产执行单元</t>
  </si>
  <si>
    <t>冲压半成品/成品、冲床设备点检记录、工位生产日报、现场不良隔离记录</t>
  </si>
  <si>
    <t>生产部负责人</t>
  </si>
  <si>
    <t>月度产量汇总、工时/效率统计、设备点检异常汇总、现场不良与停机记录、人员出勤及加班汇总</t>
  </si>
  <si>
    <t>ORG-PROD-TECH</t>
  </si>
  <si>
    <t>技术组</t>
  </si>
  <si>
    <t>EMP-0018</t>
  </si>
  <si>
    <t>刘东</t>
  </si>
  <si>
    <t>技术支持单元</t>
  </si>
  <si>
    <t>模具技术评审记录、产品工艺文件、技术改善报告、工艺变更建议文档</t>
  </si>
  <si>
    <t>月度技术问题清单、模具/工艺改善报告、工艺变更建议、技术支持完成情况、未关闭问题</t>
  </si>
  <si>
    <t>ORG-PROD-MOLD</t>
  </si>
  <si>
    <t>模具车间</t>
  </si>
  <si>
    <t>EMP-0026</t>
  </si>
  <si>
    <t>吴文根</t>
  </si>
  <si>
    <t>模具制造/维修单元</t>
  </si>
  <si>
    <t>模具维修保养记录、模具台账、修模改模图纸台账、班组巡检记录</t>
  </si>
  <si>
    <t>月度模具维修保养汇总、模具故障统计、改模任务完成情况、未完成维修事项、下月维修计划</t>
  </si>
  <si>
    <t>ORG-PROD-WASH</t>
  </si>
  <si>
    <t>清洗车间</t>
  </si>
  <si>
    <t>EMP-0021</t>
  </si>
  <si>
    <t>马金军</t>
  </si>
  <si>
    <t>产品清洗单元</t>
  </si>
  <si>
    <t>清洗作业记录、清洗设备点检表、不良隔离记录</t>
  </si>
  <si>
    <t>月度清洗产量统计、清洗不良汇总、设备点检异常、耗材使用汇总、下月任务需求</t>
  </si>
  <si>
    <t>鑫犇电子有限公司｜组织架构与职责矩阵模板</t>
  </si>
  <si>
    <t>先填主数据，再生成管理结论。不要直接在RACI里凭感觉填部门名称；所有人员、部门、岗位先在主数据表建立唯一编号。</t>
  </si>
  <si>
    <t>模板使用顺序</t>
  </si>
  <si>
    <t>步骤</t>
  </si>
  <si>
    <t>工作表</t>
  </si>
  <si>
    <t>填写要求</t>
  </si>
  <si>
    <t>1</t>
  </si>
  <si>
    <t>01_员工名单</t>
  </si>
  <si>
    <t>一行一个人；员工ID和上级员工ID是组织树的骨架。</t>
  </si>
  <si>
    <t>2</t>
  </si>
  <si>
    <t>02_组织单元</t>
  </si>
  <si>
    <t>一行一个部门/班组/项目组；组织单元ID必须唯一。</t>
  </si>
  <si>
    <t>3</t>
  </si>
  <si>
    <t>03_岗位字典</t>
  </si>
  <si>
    <t>一行一个岗位；岗位ID用于后续职责、能力和替代人管理。</t>
  </si>
  <si>
    <t>4</t>
  </si>
  <si>
    <t>04_RACI职责矩阵</t>
  </si>
  <si>
    <t>一行一项管理活动；每行只能有一个A，至少一个R。</t>
  </si>
  <si>
    <t>5</t>
  </si>
  <si>
    <t>05_确认清单</t>
  </si>
  <si>
    <t>将负责人、审批权、兼岗和边界争议登记，不要靠口头记忆。</t>
  </si>
  <si>
    <t>质量规则（必须遵守）</t>
  </si>
  <si>
    <t>• 组织树：根节点只有一个；除根节点外，每个人必须有且只有一个直接上级员工ID。</t>
  </si>
  <si>
    <t>• RACI：每项活动必须且只能有一个A；没有A的事项不能视为已授权；至少一个R负责执行。</t>
  </si>
  <si>
    <t>• 职责：A是最终对结果负责和有批准权的人，不是“参与过的人”；R是实际做事的人。</t>
  </si>
  <si>
    <t>• 状态：当前事实和未来规划分开；不确定信息统一写“待确认”，不得凭经验补全。</t>
  </si>
  <si>
    <t>• 版本：修改组织关系、岗位或职责矩阵时，填写变更日期、变更原因和确认人。</t>
  </si>
  <si>
    <t>自动检查看板</t>
  </si>
  <si>
    <t>指标</t>
  </si>
  <si>
    <t>数值</t>
  </si>
  <si>
    <t>解释</t>
  </si>
  <si>
    <t>人员总数</t>
  </si>
  <si>
    <t>填写数据后自动统计</t>
  </si>
  <si>
    <t>在岗人数</t>
  </si>
  <si>
    <t>组织单元数</t>
  </si>
  <si>
    <t>岗位数</t>
  </si>
  <si>
    <t>RACI事项数</t>
  </si>
  <si>
    <t>RACI待修正事项</t>
  </si>
  <si>
    <t>本次已填入：惠州市鑫犇电子有限公司原始组织机构图中的2个公司岗位、5个部门、12个下属组织/岗位单元。组织架构骨架已确认；未完成事项仅在“05_确认清单”中跟踪。</t>
  </si>
  <si>
    <t>已吸收：组织机构.xlsx、附件3岗位职责文件、职工名册20260808；员工主数据只保留姓名、工种、编号和组织归属，敏感身份与联系方式不复制。</t>
  </si>
  <si>
    <t>鑫犇电子有限公司｜现行组织架构图</t>
  </si>
  <si>
    <t>展示层：由 Excel SmartArt 绘制；组织单元主数据仍以“02_组织单元”为准。</t>
  </si>
  <si>
    <t>董事长 → 总经理 → 生产部、品质部、运营部、行政部、财务部</t>
  </si>
  <si>
    <t>品质部下设：质检班组（原“品检/质检”统一）</t>
  </si>
  <si>
    <t>生
产
部</t>
  </si>
  <si>
    <t>品
质
部</t>
  </si>
  <si>
    <t>营
运
部</t>
  </si>
  <si>
    <t>行
政
部</t>
  </si>
  <si>
    <t>财
务
部</t>
  </si>
  <si>
    <t>技 术 组</t>
  </si>
  <si>
    <t>生
产
车
间</t>
  </si>
  <si>
    <t>模
具
车
间</t>
  </si>
  <si>
    <t>品
检</t>
  </si>
  <si>
    <t>质
检</t>
  </si>
  <si>
    <t xml:space="preserve">业
务
</t>
  </si>
  <si>
    <t xml:space="preserve">采
购
</t>
  </si>
  <si>
    <t>包装             仓管</t>
  </si>
  <si>
    <t>人
事</t>
  </si>
  <si>
    <t>后
勤</t>
  </si>
  <si>
    <t>出
纳</t>
  </si>
  <si>
    <t>会
计</t>
  </si>
  <si>
    <t>01｜员工名单</t>
  </si>
  <si>
    <t>用途：组织治理、职责分配和人员规模确认。完整人事敏感资料仅在人事主数据中管理。</t>
  </si>
  <si>
    <t>员工ID</t>
  </si>
  <si>
    <t>姓名</t>
  </si>
  <si>
    <t>组织单元名称</t>
  </si>
  <si>
    <t>岗位名称</t>
  </si>
  <si>
    <t>兼任岗位</t>
  </si>
  <si>
    <t>岗位类别（与组织单元一致）</t>
  </si>
  <si>
    <t>任职阶段</t>
  </si>
  <si>
    <t>人员状态</t>
  </si>
  <si>
    <t>正式</t>
  </si>
  <si>
    <t>在岗</t>
  </si>
  <si>
    <t>品质组长</t>
  </si>
  <si>
    <t>EMP-0003</t>
  </si>
  <si>
    <t>尹宗琴</t>
  </si>
  <si>
    <t>品检员</t>
  </si>
  <si>
    <t>EMP-0004</t>
  </si>
  <si>
    <t>伍伟</t>
  </si>
  <si>
    <t>EMP-0005</t>
  </si>
  <si>
    <t>余永满</t>
  </si>
  <si>
    <t>EMP-0006</t>
  </si>
  <si>
    <t>雷杰</t>
  </si>
  <si>
    <t>EMP-0007</t>
  </si>
  <si>
    <t>李伟芳</t>
  </si>
  <si>
    <t>EMP-0008</t>
  </si>
  <si>
    <t>余永珍</t>
  </si>
  <si>
    <t>炊事员</t>
  </si>
  <si>
    <t>EMP-0009</t>
  </si>
  <si>
    <t>杨达友</t>
  </si>
  <si>
    <t>门卫</t>
  </si>
  <si>
    <t>EMP-0010</t>
  </si>
  <si>
    <t>尹昌廷</t>
  </si>
  <si>
    <t>EMP-0011</t>
  </si>
  <si>
    <t>冯文举</t>
  </si>
  <si>
    <t>仓库员</t>
  </si>
  <si>
    <t>EMP-0012</t>
  </si>
  <si>
    <t>蔡光怀</t>
  </si>
  <si>
    <t>包装工</t>
  </si>
  <si>
    <t>质检员</t>
  </si>
  <si>
    <t>EMP-0014</t>
  </si>
  <si>
    <t>赵荔</t>
  </si>
  <si>
    <t>跟单员</t>
  </si>
  <si>
    <t>人事员</t>
  </si>
  <si>
    <t>采购员</t>
  </si>
  <si>
    <t>模具技术负责人</t>
  </si>
  <si>
    <t>财务部负责人</t>
  </si>
  <si>
    <t>清洗组长</t>
  </si>
  <si>
    <t>EMP-0022</t>
  </si>
  <si>
    <t>余永政</t>
  </si>
  <si>
    <t>清洗工</t>
  </si>
  <si>
    <t>EMP-0023</t>
  </si>
  <si>
    <t>雷国才</t>
  </si>
  <si>
    <t>EMP-0024</t>
  </si>
  <si>
    <t>王正光</t>
  </si>
  <si>
    <t>EMP-0025</t>
  </si>
  <si>
    <t>王文开</t>
  </si>
  <si>
    <t>吴闻根</t>
  </si>
  <si>
    <t>模具检修组长</t>
  </si>
  <si>
    <t>EMP-0027</t>
  </si>
  <si>
    <t>陈英坤</t>
  </si>
  <si>
    <t>模具检修工</t>
  </si>
  <si>
    <t>EMP-0028</t>
  </si>
  <si>
    <t>屠园园</t>
  </si>
  <si>
    <t>EMP-0029</t>
  </si>
  <si>
    <t>邓宏军</t>
  </si>
  <si>
    <t>EMP-0030</t>
  </si>
  <si>
    <t>王杰</t>
  </si>
  <si>
    <t>EMP-0031</t>
  </si>
  <si>
    <t>陈仕波</t>
  </si>
  <si>
    <t>EMP-0032</t>
  </si>
  <si>
    <t>杨茗杰</t>
  </si>
  <si>
    <t>EMP-0033</t>
  </si>
  <si>
    <t>王敬</t>
  </si>
  <si>
    <t>EMP-0034</t>
  </si>
  <si>
    <t>张明新</t>
  </si>
  <si>
    <t>EMP-0035</t>
  </si>
  <si>
    <t>叶建科</t>
  </si>
  <si>
    <t>EMP-0036</t>
  </si>
  <si>
    <t>吕祖凤</t>
  </si>
  <si>
    <t>冲床操作工</t>
  </si>
  <si>
    <t>EMP-0037</t>
  </si>
  <si>
    <t>钟海霞</t>
  </si>
  <si>
    <t>EMP-0038</t>
  </si>
  <si>
    <t>余名秀</t>
  </si>
  <si>
    <t>EMP-0039</t>
  </si>
  <si>
    <t>唐晓飞</t>
  </si>
  <si>
    <t>EMP-0040</t>
  </si>
  <si>
    <t>陈烈兵</t>
  </si>
  <si>
    <t>EMP-0041</t>
  </si>
  <si>
    <t>徐旭阳</t>
  </si>
  <si>
    <t>EMP-0042</t>
  </si>
  <si>
    <t>黄丹</t>
  </si>
  <si>
    <t>EMP-0043</t>
  </si>
  <si>
    <t>王名涵</t>
  </si>
  <si>
    <t>EMP-0044</t>
  </si>
  <si>
    <t>陈仕宁</t>
  </si>
  <si>
    <t>EMP-0045</t>
  </si>
  <si>
    <t>张文壕</t>
  </si>
  <si>
    <t>试用</t>
  </si>
  <si>
    <t>03｜岗位字典</t>
  </si>
  <si>
    <t>岗位是组织职责的最小稳定单元。人员会变，岗位和岗位责任应尽量保持可持续；兼岗情况在人员主数据中表达。</t>
  </si>
  <si>
    <t>岗位ID*</t>
  </si>
  <si>
    <t>岗位名称*</t>
  </si>
  <si>
    <t>所属组织单元ID</t>
  </si>
  <si>
    <t>岗位层级</t>
  </si>
  <si>
    <t>岗位状态</t>
  </si>
  <si>
    <t>岗位目的</t>
  </si>
  <si>
    <t>核心职责</t>
  </si>
  <si>
    <t>关键输出物</t>
  </si>
  <si>
    <t>关键权限</t>
  </si>
  <si>
    <t>任职要求/能力</t>
  </si>
  <si>
    <t>替代岗位ID</t>
  </si>
  <si>
    <t>POS-CHAIR</t>
  </si>
  <si>
    <t>公司负责人</t>
  </si>
  <si>
    <t>把控公司战略方向，重大经营决策、风险管控</t>
  </si>
  <si>
    <t>公司战略规划；重大投资、人事、财务事项审批；监督总经理经营履职；重大对外决策</t>
  </si>
  <si>
    <t>战略规划文件、重大事项审批记录</t>
  </si>
  <si>
    <t>重大投资审批权、高层人事任免权、重大财务审批权</t>
  </si>
  <si>
    <t>企业经营战略、风险管理、行业研判能力</t>
  </si>
  <si>
    <t>POS-GM</t>
  </si>
  <si>
    <t>全面负责公司日常经营管理，对经营结果最终负责</t>
  </si>
  <si>
    <t>执行董事会战略；统筹各部门运营；经营目标拆解落地；跨部门冲突协调；经营绩效管控；重大客户与供应商管理</t>
  </si>
  <si>
    <t>待确认</t>
  </si>
  <si>
    <t>年度经营计划、经营分析报告、部门绩效目标；日常经营决策权、部门工作调度权、一般人事审批权</t>
  </si>
  <si>
    <t>制造业全盘运营管理，生产质量财务综合管理能力</t>
  </si>
  <si>
    <t>POS-FIN--MGR</t>
  </si>
  <si>
    <t>部门负责人</t>
  </si>
  <si>
    <t>统筹财务核算、资金、税务、成本管理，保障资金安全合规</t>
  </si>
  <si>
    <t>全盘账务管理；资金计划与付款审批；税务申报；成本核算；财务报表；会计出纳工作监督复核；内控风险把控</t>
  </si>
  <si>
    <t>年度经营计</t>
  </si>
  <si>
    <t>POS-OPS-MGR</t>
  </si>
  <si>
    <t>合同订单、客户、采购和仓储运营管理</t>
  </si>
  <si>
    <t>合同/订单评审、客户沟通、业务跟单、采购、供应商、物料入库和仓储控制</t>
  </si>
  <si>
    <t>财务报表、资金计划、税务申报表、成本分析报告</t>
  </si>
  <si>
    <t>资金付款复核审批、账务审核、财务制度拟定权</t>
  </si>
  <si>
    <t>财务全盘管理、税务、成本核算、内控风险识别</t>
  </si>
  <si>
    <t>POS-ADM-MGR</t>
  </si>
  <si>
    <t>行政、人力资源和培训管理</t>
  </si>
  <si>
    <t>制度、人事档案、招聘离职、培训考核和企业文化</t>
  </si>
  <si>
    <t>员工档案、培训记录、招聘/离职资料、</t>
  </si>
  <si>
    <t>招聘、解雇及行政审批权限待确认</t>
  </si>
  <si>
    <t>人事、培训和行政管理能力待确认</t>
  </si>
  <si>
    <t>POS-PROD-MGR</t>
  </si>
  <si>
    <t>现行厂区人员、车辆出入管控，厂区安保巡逻</t>
  </si>
  <si>
    <t>生产计划与现场生产管理</t>
  </si>
  <si>
    <t>人员进出登记；外来访客登记；车辆进出管理；厂区夜间巡逻；厂区安防异常上报</t>
  </si>
  <si>
    <t>访客登记本、巡逻记录</t>
  </si>
  <si>
    <t>生产调度和停产/恢复权限待确认</t>
  </si>
  <si>
    <t>生产计划、现场管理和安全管理能力待确认</t>
  </si>
  <si>
    <t>POS-QA-MGR</t>
  </si>
  <si>
    <t>员工食堂食材加工、餐食制作、食堂环境卫生</t>
  </si>
  <si>
    <t>三餐制作；厨具清洁消毒；食堂区域卫生；食材保管；餐具清洗消毒</t>
  </si>
  <si>
    <t>食堂就餐保障、厨具消毒记录</t>
  </si>
  <si>
    <t>允收/拒收、放行、隔离和客诉改善权限待确认</t>
  </si>
  <si>
    <t>质量检验、根因分析、体系和统计技术能力待确认</t>
  </si>
  <si>
    <t>POS-ADM-SEC</t>
  </si>
  <si>
    <t>辅助岗位</t>
  </si>
  <si>
    <t>成品包装、标识，按要求完成出货包装作业</t>
  </si>
  <si>
    <t>访登记本、巡逻记录</t>
  </si>
  <si>
    <t>出入登记核查权限</t>
  </si>
  <si>
    <t>服从排班，安保值守，基础应急识别</t>
  </si>
  <si>
    <t>POS-ADM-SK</t>
  </si>
  <si>
    <t>员工食堂食材加工、餐食制作、食堂环境卫生员工</t>
  </si>
  <si>
    <t>三餐制作；厨具清洁消毒；食堂区域卫生；食材保管；餐具清洗消毒食</t>
  </si>
  <si>
    <t>堂就餐保障、厨具消毒记录食</t>
  </si>
  <si>
    <t>堂食材使用、厨具管理权限</t>
  </si>
  <si>
    <t>食品加工，卫生操作规范</t>
  </si>
  <si>
    <t>POS-PROD-PK</t>
  </si>
  <si>
    <t>操作岗位</t>
  </si>
  <si>
    <t>操作冲床设备，按工艺完成产品冲压生产</t>
  </si>
  <si>
    <t>设备开机点检；按作业指导书进行冲压作业；首件确认；生产自检；设备日常保养；工位5S；不良品隔离</t>
  </si>
  <si>
    <t>包装完成成品、包装作业记录</t>
  </si>
  <si>
    <t>包装物料领用权限</t>
  </si>
  <si>
    <t>看懂包装要求，动手包装作业</t>
  </si>
  <si>
    <t>POS-PROD-WH</t>
  </si>
  <si>
    <t>物料、半成品、成品出入库，库存台账管理，仓储5S</t>
  </si>
  <si>
    <t>物料收货入库；物料出库发料；成品入库出货；库位管理；盘点；物料防护；台账登记</t>
  </si>
  <si>
    <t>出入库单据、库存台账、盘点表</t>
  </si>
  <si>
    <t>物料收发、库位调整权限</t>
  </si>
  <si>
    <t>仓库账务、物料识别、盘点作业</t>
  </si>
  <si>
    <t>POS-PROD-STP</t>
  </si>
  <si>
    <t>操作冲床设备，按工艺完成产品冲压生产设</t>
  </si>
  <si>
    <t>维修任务分派；模具故障统筹处理；班组人员排班；模具台账管理；班组安全5S；技术经验传递</t>
  </si>
  <si>
    <t>冲压半成品/成品、设备点检记录</t>
  </si>
  <si>
    <t>班组任务调度、模具维修方案建议权限</t>
  </si>
  <si>
    <t>模具维修技能、班组现场管理</t>
  </si>
  <si>
    <t>POS-PROD-REP</t>
  </si>
  <si>
    <t>模具维修、保养、简单改模，保障模具正常上机生产</t>
  </si>
  <si>
    <t>模具拆装；故障维修；日常保养；模具简单修模改模；模具状态记录；模具5S</t>
  </si>
  <si>
    <t>维修完成模具、模具维修保养记录</t>
  </si>
  <si>
    <t>模具拆装维修操作权限</t>
  </si>
  <si>
    <t>模具识图，模具故障判断，钳工基础</t>
  </si>
  <si>
    <t>POS-PROD-SUP</t>
  </si>
  <si>
    <t>班组长</t>
  </si>
  <si>
    <t>模具车间班组管理，统筹模具维修保养任务分配</t>
  </si>
  <si>
    <t>模具维修计划、模具台账、班组巡检记录</t>
  </si>
  <si>
    <t>班组任务调度、模具维修方案建议权限模</t>
  </si>
  <si>
    <t>具维修技能、班组现场管理</t>
  </si>
  <si>
    <t>POS-QA-IPQC</t>
  </si>
  <si>
    <t>专业岗位</t>
  </si>
  <si>
    <t>生产过程巡回质量检查，监督制程质量，及时反馈制程异常</t>
  </si>
  <si>
    <t>产线巡回抽检；核对工艺执行；制程不良发现反馈；首件复核；巡检记录；现场不良标识隔离</t>
  </si>
  <si>
    <t>制程巡检记录、制程异常反馈单</t>
  </si>
  <si>
    <t>制程质量监督、异常上报权限</t>
  </si>
  <si>
    <t>熟悉产品工艺，现场巡检，量具使用</t>
  </si>
  <si>
    <t>POS-QA-OQC</t>
  </si>
  <si>
    <t>负责来料、最终成品检验</t>
  </si>
  <si>
    <t>来料检验、成品终检；填写检验记录；质量异常上报；不良标识隔离；量具日常点检</t>
  </si>
  <si>
    <t>各类检验记录、不合格品标识记录</t>
  </si>
  <si>
    <t>按授权执行检验、标识和反馈；放行权限按RACI</t>
  </si>
  <si>
    <t>会使用各类检验量具，识别不良品，填写质量记录</t>
  </si>
  <si>
    <t>POS-QA-SUP</t>
  </si>
  <si>
    <t>质检班组日常管理，检验任务分配，质量异常初步处置</t>
  </si>
  <si>
    <t>检验任务排班；检验工作督导；检验记录复核；现场质量问题初步协调；班组5S；人员实操带教</t>
  </si>
  <si>
    <t>班组检验汇总记录、质量异常初步处置记录</t>
  </si>
  <si>
    <t>检验任务分派、现场质量问题初步处置权限</t>
  </si>
  <si>
    <t>质量检验技能，班组现场管理</t>
  </si>
  <si>
    <t>POS-PROD-WASH</t>
  </si>
  <si>
    <t>按工艺完成产品清洗作业，做好清洗工位作业与自检</t>
  </si>
  <si>
    <t>清洗设备操作；产品装夹清洗；清洗后自检；设备日常清洁保养；工位5S；不良隔离</t>
  </si>
  <si>
    <t>清洗后合格产品、设备点检记录</t>
  </si>
  <si>
    <t>清洗设备操作权限</t>
  </si>
  <si>
    <t>看懂作业指导书，清洗设备操作，识别外观不良</t>
  </si>
  <si>
    <t>POS-PROD-WASH-SUP</t>
  </si>
  <si>
    <t>清洗车间班组管理，清洗任务统筹，人员排班</t>
  </si>
  <si>
    <t>清洗生产任务分派；人员排班；设备状态监控；班组5S安全；作业质量监督；异常协调</t>
  </si>
  <si>
    <t>清洗作业计划、班组巡检记录</t>
  </si>
  <si>
    <t>班组任务调度、现场异常协调权限</t>
  </si>
  <si>
    <t>产品清洗工艺、班组现场管理</t>
  </si>
  <si>
    <t>POS-OPS-ORD</t>
  </si>
  <si>
    <t>订单全流程跟进，对接客户，跟进交期，信息同步客户内部</t>
  </si>
  <si>
    <t>订单录入；交期跟进；客户沟通；生产进度同步；出货跟进；客户信息记录；订单异常反馈</t>
  </si>
  <si>
    <t>订单跟进台账、客户沟通记录、出货通知</t>
  </si>
  <si>
    <t>订单进度跟踪、客户信息对接权限</t>
  </si>
  <si>
    <t>订单跟进，客户沟通，基础表单记录</t>
  </si>
  <si>
    <t>POS--FIN-CASH</t>
  </si>
  <si>
    <t>出纳</t>
  </si>
  <si>
    <t>公司现金、银行收付，资金台账，票据管理</t>
  </si>
  <si>
    <t>现金银行收付；银行对账；资金流水登记；票据保管；费用报销初审；配合会计账务处理</t>
  </si>
  <si>
    <t>银行流水台账、现金日记账、票据保管台账</t>
  </si>
  <si>
    <t>资金收付执行权限，无审批权</t>
  </si>
  <si>
    <t>现金银行业务，票据管理，基础财务规范</t>
  </si>
  <si>
    <t>POS--FIN-ACC</t>
  </si>
  <si>
    <t>会计</t>
  </si>
  <si>
    <t>账务处理、报税、成本核算、财务凭证报表编制</t>
  </si>
  <si>
    <t>凭证处理；全盘账务；税务申报；成本核算；编制财务报表；档案归档；出纳账务核对</t>
  </si>
  <si>
    <t>会计凭证、财务报表、税务申报资料、财务档案账</t>
  </si>
  <si>
    <t>务处理、报税操作权限</t>
  </si>
  <si>
    <t>全盘账务处理，税务申报，成本核算</t>
  </si>
  <si>
    <t>POS--TECH-MGR</t>
  </si>
  <si>
    <t>模具技术方案、新产品工艺、模具开发技术统筹管理</t>
  </si>
  <si>
    <t>新产品工艺评估；模具方案设计评审；模具技术问题攻关；工艺优化；技术文档编制；对接生产/模具车间模具</t>
  </si>
  <si>
    <t>技术方案、工艺文件、技术改善报告</t>
  </si>
  <si>
    <t>技术方案评审、工艺变更建议权限</t>
  </si>
  <si>
    <t>模具设计、产品工艺、技术问题攻关</t>
  </si>
  <si>
    <t>POS-ADM-HR</t>
  </si>
  <si>
    <t>人事执行类工作，招聘、考勤、入离职、档案维护</t>
  </si>
  <si>
    <t>招聘渠道执行；入职离职手续办理；考勤统计；员工档案维护；社保办理；培训执行；人事表单维护</t>
  </si>
  <si>
    <t>考勤表、员工人事档案、社保办理记录、招聘台账</t>
  </si>
  <si>
    <t>人事事务执行权限，无高层人事审批权限人</t>
  </si>
  <si>
    <t>事基础业务，档案管理，社保经办</t>
  </si>
  <si>
    <t>POS-OPS-PUR</t>
  </si>
  <si>
    <t>物料采购执行，供应商对接，交期跟进，采购单据处理</t>
  </si>
  <si>
    <t>物料需求接收；询比价；下达采购订单；跟进物料交期；供应商沟通；来料异常对接；采购台账登记</t>
  </si>
  <si>
    <t>采购订单、询比价记录、采购跟进台账</t>
  </si>
  <si>
    <t>采购执行下单权限，采购价格审批遵循RACI</t>
  </si>
  <si>
    <t>物料识别，询比价，供应商沟通，采购跟单补齐说明</t>
  </si>
  <si>
    <t>04｜RACI职责矩阵</t>
  </si>
  <si>
    <t>R=执行，A=最终负责/批准，C=事前咨询，I=结果知会，—=不参与。每行只能有一个A，至少一个R；角色名先在表头改成真实岗位/部门。</t>
  </si>
  <si>
    <t>事项ID*</t>
  </si>
  <si>
    <t>管理域</t>
  </si>
  <si>
    <t>流程/场景</t>
  </si>
  <si>
    <t>具体事项*</t>
  </si>
  <si>
    <t>触发条件/频次</t>
  </si>
  <si>
    <t>业务/采购/仓管</t>
  </si>
  <si>
    <t>A数量</t>
  </si>
  <si>
    <t>R数量</t>
  </si>
  <si>
    <t>检查结果</t>
  </si>
  <si>
    <t>确认人</t>
  </si>
  <si>
    <t>确认日期</t>
  </si>
  <si>
    <t>RACI-001</t>
  </si>
  <si>
    <t>组织管理</t>
  </si>
  <si>
    <t>公司组织架构</t>
  </si>
  <si>
    <t>确认部门、岗位和汇报关系</t>
  </si>
  <si>
    <t>组织架构确认版</t>
  </si>
  <si>
    <t>组织架构调整时</t>
  </si>
  <si>
    <t>A</t>
  </si>
  <si>
    <t>R</t>
  </si>
  <si>
    <t>I</t>
  </si>
  <si>
    <t>2026.10.4</t>
  </si>
  <si>
    <t>董事长承担，总经理执行入</t>
  </si>
  <si>
    <t>RACI-002</t>
  </si>
  <si>
    <t>经营管理</t>
  </si>
  <si>
    <t>年度经营目标</t>
  </si>
  <si>
    <t>确认年度经营目标和重点事项</t>
  </si>
  <si>
    <t>年度经营目标表</t>
  </si>
  <si>
    <t>年度/重大调整</t>
  </si>
  <si>
    <t>总经理承担，各部门承接分解目标</t>
  </si>
  <si>
    <t>RACI-003</t>
  </si>
  <si>
    <t>客户/订单</t>
  </si>
  <si>
    <t>订单接收与评审</t>
  </si>
  <si>
    <t>确认客户订单、图纸、交期和生产可行性</t>
  </si>
  <si>
    <t>订单评审记录</t>
  </si>
  <si>
    <t>收到新订单时</t>
  </si>
  <si>
    <t>—</t>
  </si>
  <si>
    <t>C</t>
  </si>
  <si>
    <t>营运部承担：生产、品质、技术、业务、采购、仓管执行</t>
  </si>
  <si>
    <t>RACI-004</t>
  </si>
  <si>
    <t>生产</t>
  </si>
  <si>
    <t>生产任务下达</t>
  </si>
  <si>
    <t>确认生产产品、材料、模具、设备和交期</t>
  </si>
  <si>
    <t>生产任务确认单</t>
  </si>
  <si>
    <t>开工前</t>
  </si>
  <si>
    <t>生产部承担，生产/模具/清洗车间执行：</t>
  </si>
  <si>
    <t>RACI-005</t>
  </si>
  <si>
    <t>质量</t>
  </si>
  <si>
    <t>首件与异常放行</t>
  </si>
  <si>
    <t>确认首件、异常隔离和恢复生产权限</t>
  </si>
  <si>
    <t>首件/异常记录</t>
  </si>
  <si>
    <t>首件或异常发生时</t>
  </si>
  <si>
    <t>品质部承担，各生产车间、质检班组执行</t>
  </si>
  <si>
    <t>RACI-006</t>
  </si>
  <si>
    <t>来料检验IQC</t>
  </si>
  <si>
    <t>供应商来料检验，判定来料合格/不合格</t>
  </si>
  <si>
    <t>来料检验报告、来料异常单</t>
  </si>
  <si>
    <t>物料到货时</t>
  </si>
  <si>
    <t>品质部承担，质检班组执行</t>
  </si>
  <si>
    <t>RACI-007</t>
  </si>
  <si>
    <t>客户投诉闭环处理</t>
  </si>
  <si>
    <t>客户质量投诉接收、调查、制定改善措施并闭环</t>
  </si>
  <si>
    <t>客诉处理报告、改善记录</t>
  </si>
  <si>
    <t>客户反馈质量问题时</t>
  </si>
  <si>
    <t>品质部承担，业务对接客户，多车间参与调查</t>
  </si>
  <si>
    <t>RACI-008</t>
  </si>
  <si>
    <t>财务</t>
  </si>
  <si>
    <t>付款与费用审批</t>
  </si>
  <si>
    <t>确认付款、报销和资金审批边界</t>
  </si>
  <si>
    <t>付款/费用审批记录</t>
  </si>
  <si>
    <t>发生费用或付款时</t>
  </si>
  <si>
    <t>董事长承担，财务部，各部门提供业务咨询</t>
  </si>
  <si>
    <t>RACI-009</t>
  </si>
  <si>
    <t>月度结账出具财务报表</t>
  </si>
  <si>
    <t>账务处理、月末关账、编制月度财务报表</t>
  </si>
  <si>
    <t>会计凭证、月度财务报表</t>
  </si>
  <si>
    <t>每月月末关账时</t>
  </si>
  <si>
    <t>董事长承担，会计岗位执行</t>
  </si>
  <si>
    <t>RACI-010</t>
  </si>
  <si>
    <t>采购/供应链</t>
  </si>
  <si>
    <t>物料采购寻源下单</t>
  </si>
  <si>
    <t>物料采购寻源下单|物料询比价、供应商确认、下达采购订单</t>
  </si>
  <si>
    <t>采购订单、询比价记录</t>
  </si>
  <si>
    <t>物料需求时</t>
  </si>
  <si>
    <t>营运部承担，采购岗位执行</t>
  </si>
  <si>
    <t>RACI-011</t>
  </si>
  <si>
    <t>仓储管理</t>
  </si>
  <si>
    <t>仓储管理|物料出入库与盘点</t>
  </si>
  <si>
    <t>物料收料、发料、成品出入库、库存盘点</t>
  </si>
  <si>
    <t>出入库单据、盘点表</t>
  </si>
  <si>
    <t>物料收发，按月盘点时</t>
  </si>
  <si>
    <t>营运部承担，仓管执行</t>
  </si>
  <si>
    <t>RACI-012</t>
  </si>
  <si>
    <t>模具管理</t>
  </si>
  <si>
    <t>模具维修保养作业</t>
  </si>
  <si>
    <t>模具故障维修、周期性保养，更新模具台账</t>
  </si>
  <si>
    <t>|模具维修保养记录</t>
  </si>
  <si>
    <t>模具故障/定期保养时</t>
  </si>
  <si>
    <t>模具技术组承担，模具车间执行</t>
  </si>
  <si>
    <t>RACI-013</t>
  </si>
  <si>
    <t>新模/改模方案评审</t>
  </si>
  <si>
    <t>新产品模具方案评审、改模确认、输出工艺文件</t>
  </si>
  <si>
    <t>模具评审记录、工艺文件</t>
  </si>
  <si>
    <t>新产品开发、产品改型</t>
  </si>
  <si>
    <t>技术组承担，总经理、模具车间、生产部参与评审</t>
  </si>
  <si>
    <t>RACI-014</t>
  </si>
  <si>
    <t>生产管理</t>
  </si>
  <si>
    <t>车间生产、安全与5S管理</t>
  </si>
  <si>
    <t>车间安排协调、安全巡检、5S推行、隐患整改闭环</t>
  </si>
  <si>
    <t>安全巡检表、5S检查记录</t>
  </si>
  <si>
    <t>每日现场巡检时时</t>
  </si>
  <si>
    <t>生产部承担，生产、模具车间执行</t>
  </si>
  <si>
    <t>RACI-015</t>
  </si>
  <si>
    <t>清洗车间生产管控</t>
  </si>
  <si>
    <t>清洗任务分派、过程管控、产品自检</t>
  </si>
  <si>
    <t>清洗作业记录、设备点检表</t>
  </si>
  <si>
    <t>下达清洗生产任务时</t>
  </si>
  <si>
    <t>生产部承担，生清洗车间执行</t>
  </si>
  <si>
    <t>RACI-016</t>
  </si>
  <si>
    <t>人事行政</t>
  </si>
  <si>
    <t>员工入离职手续办理</t>
  </si>
  <si>
    <t>入职登记、合同签订、离职审批及手续办理</t>
  </si>
  <si>
    <t>员工档案、入离职表单</t>
  </si>
  <si>
    <t>人员入职、离职发生时</t>
  </si>
  <si>
    <t>总经理承担，行政部人事员执行</t>
  </si>
  <si>
    <t>RACI-017</t>
  </si>
  <si>
    <t>考勤统计核算基础数据</t>
  </si>
  <si>
    <t>考勤收集、加班核对，输出月度考勤表</t>
  </si>
  <si>
    <t>月度考勤汇总表</t>
  </si>
  <si>
    <t>每月月末时</t>
  </si>
  <si>
    <t>RACI-018</t>
  </si>
  <si>
    <t>后勤管理</t>
  </si>
  <si>
    <t>厂区安保及食堂管理</t>
  </si>
  <si>
    <t>门卫值守访客登记、食堂餐食及后勤环境管理</t>
  </si>
  <si>
    <t>访客登记本、食堂消毒记录</t>
  </si>
  <si>
    <t>日常持续运行时</t>
  </si>
  <si>
    <t>董事长承担，后勤岗位（门卫、炊事员）执行</t>
  </si>
  <si>
    <t>RACI-019</t>
  </si>
  <si>
    <t>出货管理</t>
  </si>
  <si>
    <t>成品包装与出货核对放行</t>
  </si>
  <si>
    <t>成品包装贴标、出货核对、出货检验</t>
  </si>
  <si>
    <t>出货通知单、检验记录</t>
  </si>
  <si>
    <t>出货时</t>
  </si>
  <si>
    <t>品质部承担，质检班组、包装、仓管，营运部业务协同</t>
  </si>
  <si>
    <t>RACI-020</t>
  </si>
  <si>
    <t>体系管理</t>
  </si>
  <si>
    <t>质量体系维护与内外审</t>
  </si>
  <si>
    <t>体系文件维护、内审实施、不符合项整改跟踪</t>
  </si>
  <si>
    <t>受控文件清单、内审报告</t>
  </si>
  <si>
    <t>年度内、外审时</t>
  </si>
  <si>
    <t>总经理承担，品质部执行，各部门参与参与。</t>
  </si>
  <si>
    <t>RACI-021</t>
  </si>
  <si>
    <t>设备工装</t>
  </si>
  <si>
    <t>冲床日常点检维护</t>
  </si>
  <si>
    <t>冲开班点检、故障报修处置</t>
  </si>
  <si>
    <t>冲床点检记录、设备维修单</t>
  </si>
  <si>
    <t>每日开班、设备故障发生时</t>
  </si>
  <si>
    <t>生产部承担：生产车间执行</t>
  </si>
  <si>
    <t>RACI-022</t>
  </si>
  <si>
    <t>清洗设备常点检维护</t>
  </si>
  <si>
    <t>清洗设备开班点检、故障报修处置</t>
  </si>
  <si>
    <t>清洗设备点检记录、设备维修单</t>
  </si>
  <si>
    <t>生产部承担：清洗车间执行</t>
  </si>
  <si>
    <t>RACI-023</t>
  </si>
  <si>
    <t>异常管理</t>
  </si>
  <si>
    <t>|重大生产异常处置</t>
  </si>
  <si>
    <t>生产停线、批量不良事件评估、处置决策</t>
  </si>
  <si>
    <t>重大生产异常处置报告</t>
  </si>
  <si>
    <t>发生重大生产停线/批量不良时</t>
  </si>
  <si>
    <t>总经理承担，生产及各车间，品质/营运/技术协同参与执行</t>
  </si>
  <si>
    <t>05｜组织架构与职责待确认清单</t>
  </si>
  <si>
    <t>这里不是“意见收集箱”，而是管理层必须作出明确决定的事项清单。负责人、审批权和边界没有确认，就不能把文件树和流程固化。</t>
  </si>
  <si>
    <t>确认编号</t>
  </si>
  <si>
    <t>确认事项</t>
  </si>
  <si>
    <t>涉及组织/岗位</t>
  </si>
  <si>
    <t>当前状态</t>
  </si>
  <si>
    <t>建议确认人</t>
  </si>
  <si>
    <t>确认结论</t>
  </si>
  <si>
    <t>生效日期</t>
  </si>
  <si>
    <t>证据/依据</t>
  </si>
  <si>
    <t>后续动作</t>
  </si>
  <si>
    <t>责任人</t>
  </si>
  <si>
    <t>截止日期</t>
  </si>
  <si>
    <t>CONF-001</t>
  </si>
  <si>
    <t>补录董事长姓名、员工ID和联系方式</t>
  </si>
  <si>
    <t>公司治理</t>
  </si>
  <si>
    <t>已确认</t>
  </si>
  <si>
    <t>原始机构图只提供岗位名称</t>
  </si>
  <si>
    <t>补录人员主数据</t>
  </si>
  <si>
    <t>CONF-002</t>
  </si>
  <si>
    <t>补录总经理姓名、员工ID和直接上级关系</t>
  </si>
  <si>
    <t>CONF-003</t>
  </si>
  <si>
    <t>确认生产部负责人及技术组/生产车间/模具车间归属</t>
  </si>
  <si>
    <t>机构图给出层级位置，未给负责人</t>
  </si>
  <si>
    <t>补录部门负责人和岗位</t>
  </si>
  <si>
    <t>CONF-005</t>
  </si>
  <si>
    <t>确认营运部负责人及业务、采购、仓管归属</t>
  </si>
  <si>
    <t>机构图给出层级位置，未给职责边界</t>
  </si>
  <si>
    <t>建立运营职责矩阵</t>
  </si>
  <si>
    <t>CONF-006</t>
  </si>
  <si>
    <t>确认行政部负责人及人事、后勤归属</t>
  </si>
  <si>
    <t>建立行政职责矩阵</t>
  </si>
  <si>
    <t>CONF-007</t>
  </si>
  <si>
    <t>确认财务部负责人及会计、出纳复核/审批关系</t>
  </si>
  <si>
    <t>董事长/总经理</t>
  </si>
  <si>
    <t>机构图只列会计、出纳单元</t>
  </si>
  <si>
    <t>建立财务授权矩阵</t>
  </si>
  <si>
    <t>CONF-008</t>
  </si>
  <si>
    <t>确认董事长与总经理的直接汇报及授权关系</t>
  </si>
  <si>
    <t>机构图体现上下级位置但未说明授权边界</t>
  </si>
  <si>
    <t>填写汇报与审批关系</t>
  </si>
  <si>
    <t>CONF-009</t>
  </si>
  <si>
    <t>确认质量管理体系职责由哪个现有岗位/人员承担（不是新增岗位）</t>
  </si>
  <si>
    <t>品质部/总经理</t>
  </si>
  <si>
    <t>附件3提出管理者代表职责，但公司当前组织机构图未列此岗位；按用户确认不作为岗位名称</t>
  </si>
  <si>
    <t>在RACI中配置质量体系职责，不新增岗位</t>
  </si>
  <si>
    <t>CONF-011</t>
  </si>
  <si>
    <t>确认生产部、品质部、行政部职责说明中的权限边界</t>
  </si>
  <si>
    <t>生产部/品质部/行政部</t>
  </si>
  <si>
    <t>未确认</t>
  </si>
  <si>
    <t>附件3给出职责，但多数权限未写明批准人</t>
  </si>
  <si>
    <t>补录RACI和授权矩阵</t>
  </si>
  <si>
    <t>06｜字段字典与RACI说明</t>
  </si>
  <si>
    <t>这张表用于统一填写口径，避免同一个概念在不同表里出现不同叫法。</t>
  </si>
  <si>
    <t>字段/代码</t>
  </si>
  <si>
    <t>含义</t>
  </si>
  <si>
    <t>填写规则</t>
  </si>
  <si>
    <t>示例</t>
  </si>
  <si>
    <t>是否必填</t>
  </si>
  <si>
    <t>人员唯一标识</t>
  </si>
  <si>
    <t>建议使用EMP-001格式；离职后不复用</t>
  </si>
  <si>
    <t>EMP-001</t>
  </si>
  <si>
    <t>是</t>
  </si>
  <si>
    <t>组织单元ID</t>
  </si>
  <si>
    <t>部门/班组唯一标识</t>
  </si>
  <si>
    <t>建议使用ORG-生产-01格式；不使用简称代替</t>
  </si>
  <si>
    <t>ORG-PROD-01</t>
  </si>
  <si>
    <t>岗位ID</t>
  </si>
  <si>
    <t>岗位唯一标识</t>
  </si>
  <si>
    <t>建议使用POS-部门-序号格式</t>
  </si>
  <si>
    <t>POS-PROD-01</t>
  </si>
  <si>
    <t>上级员工ID</t>
  </si>
  <si>
    <t>直接汇报对象</t>
  </si>
  <si>
    <t>根节点留空；其他人员必须唯一对应一个上级</t>
  </si>
  <si>
    <t>是（根节点除外）</t>
  </si>
  <si>
    <t>Accountable，最终负责/批准</t>
  </si>
  <si>
    <t>每项活动只能有1个A</t>
  </si>
  <si>
    <t>Responsible，执行责任</t>
  </si>
  <si>
    <t>每项活动至少1个R</t>
  </si>
  <si>
    <t>Consulted，事前咨询</t>
  </si>
  <si>
    <t>有双向沟通或专业意见输入</t>
  </si>
  <si>
    <t>按需</t>
  </si>
  <si>
    <t>Informed，结果知会</t>
  </si>
  <si>
    <t>单向通知结果</t>
  </si>
  <si>
    <t>不参与</t>
  </si>
  <si>
    <t>不属于该事项责任范围</t>
  </si>
  <si>
    <t>术语统一</t>
  </si>
  <si>
    <t>质量检验员</t>
  </si>
  <si>
    <t>正式岗位名称</t>
  </si>
  <si>
    <t>统一替代“品检”“质检”“巡检工”等现场叫法</t>
  </si>
  <si>
    <t>运营部</t>
  </si>
  <si>
    <t>正式部门名称</t>
  </si>
  <si>
    <t>统一替代“运营部”</t>
  </si>
  <si>
    <t>组织层级</t>
  </si>
  <si>
    <t>任职性质</t>
  </si>
  <si>
    <t>关键岗位</t>
  </si>
  <si>
    <t>RACI</t>
  </si>
  <si>
    <t>确认状态</t>
  </si>
  <si>
    <t>部门名称</t>
  </si>
  <si>
    <t>组织单元</t>
  </si>
  <si>
    <t>管理确认人</t>
  </si>
  <si>
    <t>否</t>
  </si>
  <si>
    <t>筹备</t>
  </si>
  <si>
    <t>讨论中</t>
  </si>
  <si>
    <t>停薪留职</t>
  </si>
  <si>
    <t>兼职/兼任</t>
  </si>
  <si>
    <t>规划</t>
  </si>
  <si>
    <t>离职交接</t>
  </si>
  <si>
    <t>外包/临时</t>
  </si>
  <si>
    <t>停用</t>
  </si>
  <si>
    <t>产品/技术</t>
  </si>
  <si>
    <t>暂缓</t>
  </si>
  <si>
    <t>已离职</t>
  </si>
  <si>
    <t>岗位单元</t>
  </si>
  <si>
    <t>取消</t>
  </si>
  <si>
    <t>运营部负责人</t>
  </si>
  <si>
    <t>项目组</t>
  </si>
  <si>
    <t>模具/设备</t>
  </si>
  <si>
    <t>其他</t>
  </si>
  <si>
    <t>行政/人事</t>
  </si>
  <si>
    <t>品质经理</t>
  </si>
  <si>
    <t>采购/供应商</t>
  </si>
  <si>
    <t>工程</t>
  </si>
  <si>
    <t>交付</t>
  </si>
  <si>
    <t>品检</t>
  </si>
  <si>
    <t>改善/审核</t>
  </si>
  <si>
    <t>质检</t>
  </si>
  <si>
    <t>巡检工</t>
  </si>
  <si>
    <t>产品清洗工</t>
  </si>
  <si>
    <t>包装部</t>
  </si>
  <si>
    <t>仓库</t>
  </si>
  <si>
    <t>模具维修技术工</t>
  </si>
  <si>
    <t>模具维修工</t>
  </si>
  <si>
    <t>模具学徒</t>
  </si>
  <si>
    <t>办公文员</t>
  </si>
  <si>
    <t>食堂</t>
  </si>
  <si>
    <t>保安</t>
  </si>
  <si>
    <t>清洗主管</t>
  </si>
  <si>
    <t>清洗工</t>
    <phoneticPr fontId="16" type="noConversion"/>
  </si>
  <si>
    <t>关键输出物</t>
    <phoneticPr fontId="16" type="noConversion"/>
  </si>
  <si>
    <t>正式</t>
    <phoneticPr fontId="16" type="noConversion"/>
  </si>
  <si>
    <t>总经理</t>
    <phoneticPr fontId="16" type="noConversion"/>
  </si>
  <si>
    <t>营运部负责人、行政部负责人</t>
    <phoneticPr fontId="16" type="noConversion"/>
  </si>
  <si>
    <t>财务部负责人</t>
    <phoneticPr fontId="16" type="noConversion"/>
  </si>
  <si>
    <t>董事长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</si>
</sst>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_ "/>
  </numFmts>
  <fonts count="18">
    <font>
      <sz val="11"/>
      <color theme="1"/>
      <name val="宋体"/>
      <charset val="134"/>
      <scheme val="minor"/>
    </font>
    <font>
      <b/>
      <sz val="11"/>
      <color rgb="FFFFFFFF"/>
      <name val="宋体"/>
    </font>
    <font>
      <b/>
      <sz val="18"/>
      <color rgb="FFFFFFFF"/>
      <name val="Microsoft YaHei"/>
      <family val="2"/>
    </font>
    <font>
      <sz val="10"/>
      <color rgb="FF44546A"/>
      <name val="Microsoft YaHei"/>
      <family val="2"/>
    </font>
    <font>
      <b/>
      <sz val="10"/>
      <color rgb="FFFFFFFF"/>
      <name val="Microsoft YaHei"/>
      <family val="2"/>
    </font>
    <font>
      <sz val="10"/>
      <name val="Microsoft YaHei"/>
      <family val="2"/>
    </font>
    <font>
      <sz val="10"/>
      <color rgb="FF262626"/>
      <name val="Microsoft YaHei"/>
      <family val="2"/>
    </font>
    <font>
      <b/>
      <sz val="10"/>
      <name val="Microsoft YaHei"/>
      <family val="2"/>
    </font>
    <font>
      <sz val="11"/>
      <color rgb="FFFF0000"/>
      <name val="宋体"/>
      <scheme val="minor"/>
    </font>
    <font>
      <sz val="10"/>
      <color rgb="FFFF0000"/>
      <name val="Microsoft YaHei"/>
      <family val="2"/>
    </font>
    <font>
      <b/>
      <sz val="16"/>
      <color rgb="FFFFFFFF"/>
      <name val="Microsoft YaHei"/>
      <family val="2"/>
    </font>
    <font>
      <b/>
      <sz val="11"/>
      <color rgb="FFFFFFFF"/>
      <name val="Microsoft YaHei"/>
      <family val="2"/>
    </font>
    <font>
      <sz val="8"/>
      <name val="Microsoft YaHei"/>
      <family val="2"/>
    </font>
    <font>
      <sz val="18"/>
      <color theme="1"/>
      <name val="宋体"/>
      <scheme val="minor"/>
    </font>
    <font>
      <b/>
      <sz val="14"/>
      <color rgb="FF1F4E78"/>
      <name val="Microsoft YaHei"/>
      <family val="2"/>
    </font>
    <font>
      <i/>
      <sz val="10"/>
      <color rgb="FF9C6500"/>
      <name val="Microsoft YaHe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4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76" fontId="6" fillId="0" borderId="1" xfId="0" applyNumberFormat="1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76" fontId="6" fillId="5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top" wrapText="1"/>
    </xf>
    <xf numFmtId="176" fontId="6" fillId="5" borderId="1" xfId="0" applyNumberFormat="1" applyFont="1" applyFill="1" applyBorder="1" applyAlignment="1">
      <alignment horizontal="center" vertical="top" wrapText="1"/>
    </xf>
    <xf numFmtId="0" fontId="8" fillId="0" borderId="0" xfId="0" applyFont="1"/>
    <xf numFmtId="0" fontId="9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center" vertical="top" wrapText="1"/>
    </xf>
    <xf numFmtId="177" fontId="0" fillId="0" borderId="2" xfId="0" applyNumberFormat="1" applyBorder="1" applyAlignment="1">
      <alignment vertical="center" wrapText="1"/>
    </xf>
    <xf numFmtId="177" fontId="0" fillId="0" borderId="3" xfId="0" applyNumberForma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177" fontId="0" fillId="0" borderId="4" xfId="0" applyNumberForma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11" fillId="6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4" borderId="0" xfId="0" applyFont="1" applyFill="1" applyAlignment="1">
      <alignment vertical="center" wrapText="1"/>
    </xf>
    <xf numFmtId="0" fontId="10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/>
    </xf>
    <xf numFmtId="0" fontId="17" fillId="0" borderId="6" xfId="0" applyFont="1" applyBorder="1" applyAlignment="1">
      <alignment horizontal="center" vertical="center"/>
    </xf>
  </cellXfs>
  <cellStyles count="1">
    <cellStyle name="常规" xfId="0" builtinId="0"/>
  </cellStyles>
  <dxfs count="6">
    <dxf>
      <font>
        <b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/>
        <color rgb="FF9C6500"/>
      </font>
      <fill>
        <patternFill patternType="solid">
          <fgColor rgb="FFFFF2CC"/>
        </patternFill>
      </fill>
    </dxf>
    <dxf>
      <font>
        <b/>
        <color rgb="FF006100"/>
      </font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defaultColWidth="9" defaultRowHeight="14.4"/>
  <cols>
    <col min="1" max="1" width="20" customWidth="1"/>
    <col min="2" max="10" width="18" customWidth="1"/>
  </cols>
  <sheetData>
    <row r="1" spans="1:10" ht="34.049999999999997" customHeight="1">
      <c r="A1" s="44" t="s">
        <v>139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34.049999999999997" customHeight="1">
      <c r="A2" s="41" t="s">
        <v>140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ht="16.2" customHeight="1">
      <c r="A4" s="50" t="s">
        <v>141</v>
      </c>
      <c r="B4" s="42"/>
      <c r="C4" s="42"/>
      <c r="D4" s="42"/>
      <c r="E4" s="42"/>
      <c r="F4" s="42"/>
      <c r="G4" s="42"/>
      <c r="H4" s="42"/>
      <c r="I4" s="42"/>
      <c r="J4" s="42"/>
    </row>
    <row r="5" spans="1:10" ht="40.049999999999997" customHeight="1">
      <c r="A5" s="2" t="s">
        <v>142</v>
      </c>
      <c r="B5" s="2" t="s">
        <v>143</v>
      </c>
      <c r="C5" s="51" t="s">
        <v>144</v>
      </c>
      <c r="D5" s="46"/>
      <c r="E5" s="46"/>
      <c r="F5" s="46"/>
      <c r="G5" s="46"/>
      <c r="H5" s="46"/>
      <c r="I5" s="46"/>
      <c r="J5" s="47"/>
    </row>
    <row r="6" spans="1:10" ht="28.05" customHeight="1">
      <c r="A6" s="35" t="s">
        <v>145</v>
      </c>
      <c r="B6" s="35" t="s">
        <v>146</v>
      </c>
      <c r="C6" s="48" t="s">
        <v>147</v>
      </c>
      <c r="D6" s="46"/>
      <c r="E6" s="46"/>
      <c r="F6" s="46"/>
      <c r="G6" s="46"/>
      <c r="H6" s="46"/>
      <c r="I6" s="46"/>
      <c r="J6" s="47"/>
    </row>
    <row r="7" spans="1:10" ht="28.05" customHeight="1">
      <c r="A7" s="36" t="s">
        <v>148</v>
      </c>
      <c r="B7" s="36" t="s">
        <v>149</v>
      </c>
      <c r="C7" s="55" t="s">
        <v>150</v>
      </c>
      <c r="D7" s="46"/>
      <c r="E7" s="46"/>
      <c r="F7" s="46"/>
      <c r="G7" s="46"/>
      <c r="H7" s="46"/>
      <c r="I7" s="46"/>
      <c r="J7" s="47"/>
    </row>
    <row r="8" spans="1:10" ht="28.05" customHeight="1">
      <c r="A8" s="35" t="s">
        <v>151</v>
      </c>
      <c r="B8" s="35" t="s">
        <v>152</v>
      </c>
      <c r="C8" s="48" t="s">
        <v>153</v>
      </c>
      <c r="D8" s="46"/>
      <c r="E8" s="46"/>
      <c r="F8" s="46"/>
      <c r="G8" s="46"/>
      <c r="H8" s="46"/>
      <c r="I8" s="46"/>
      <c r="J8" s="47"/>
    </row>
    <row r="9" spans="1:10" ht="28.05" customHeight="1">
      <c r="A9" s="36" t="s">
        <v>154</v>
      </c>
      <c r="B9" s="36" t="s">
        <v>155</v>
      </c>
      <c r="C9" s="55" t="s">
        <v>156</v>
      </c>
      <c r="D9" s="46"/>
      <c r="E9" s="46"/>
      <c r="F9" s="46"/>
      <c r="G9" s="46"/>
      <c r="H9" s="46"/>
      <c r="I9" s="46"/>
      <c r="J9" s="47"/>
    </row>
    <row r="10" spans="1:10" ht="28.05" customHeight="1">
      <c r="A10" s="35" t="s">
        <v>157</v>
      </c>
      <c r="B10" s="35" t="s">
        <v>158</v>
      </c>
      <c r="C10" s="48" t="s">
        <v>159</v>
      </c>
      <c r="D10" s="46"/>
      <c r="E10" s="46"/>
      <c r="F10" s="46"/>
      <c r="G10" s="46"/>
      <c r="H10" s="46"/>
      <c r="I10" s="46"/>
      <c r="J10" s="47"/>
    </row>
    <row r="13" spans="1:10" ht="16.2" customHeight="1">
      <c r="A13" s="50" t="s">
        <v>160</v>
      </c>
      <c r="B13" s="42"/>
      <c r="C13" s="42"/>
      <c r="D13" s="42"/>
      <c r="E13" s="42"/>
      <c r="F13" s="42"/>
      <c r="G13" s="42"/>
      <c r="H13" s="42"/>
      <c r="I13" s="42"/>
      <c r="J13" s="42"/>
    </row>
    <row r="14" spans="1:10" ht="30" customHeight="1">
      <c r="A14" s="45" t="s">
        <v>161</v>
      </c>
      <c r="B14" s="46"/>
      <c r="C14" s="46"/>
      <c r="D14" s="46"/>
      <c r="E14" s="46"/>
      <c r="F14" s="46"/>
      <c r="G14" s="46"/>
      <c r="H14" s="46"/>
      <c r="I14" s="46"/>
      <c r="J14" s="47"/>
    </row>
    <row r="15" spans="1:10" ht="30" customHeight="1">
      <c r="A15" s="54" t="s">
        <v>162</v>
      </c>
      <c r="B15" s="46"/>
      <c r="C15" s="46"/>
      <c r="D15" s="46"/>
      <c r="E15" s="46"/>
      <c r="F15" s="46"/>
      <c r="G15" s="46"/>
      <c r="H15" s="46"/>
      <c r="I15" s="46"/>
      <c r="J15" s="47"/>
    </row>
    <row r="16" spans="1:10" ht="30" customHeight="1">
      <c r="A16" s="54" t="s">
        <v>163</v>
      </c>
      <c r="B16" s="46"/>
      <c r="C16" s="46"/>
      <c r="D16" s="46"/>
      <c r="E16" s="46"/>
      <c r="F16" s="46"/>
      <c r="G16" s="46"/>
      <c r="H16" s="46"/>
      <c r="I16" s="46"/>
      <c r="J16" s="47"/>
    </row>
    <row r="17" spans="1:10" ht="30" customHeight="1">
      <c r="A17" s="45" t="s">
        <v>164</v>
      </c>
      <c r="B17" s="46"/>
      <c r="C17" s="46"/>
      <c r="D17" s="46"/>
      <c r="E17" s="46"/>
      <c r="F17" s="46"/>
      <c r="G17" s="46"/>
      <c r="H17" s="46"/>
      <c r="I17" s="46"/>
      <c r="J17" s="47"/>
    </row>
    <row r="18" spans="1:10" ht="30" customHeight="1">
      <c r="A18" s="45" t="s">
        <v>165</v>
      </c>
      <c r="B18" s="46"/>
      <c r="C18" s="46"/>
      <c r="D18" s="46"/>
      <c r="E18" s="46"/>
      <c r="F18" s="46"/>
      <c r="G18" s="46"/>
      <c r="H18" s="46"/>
      <c r="I18" s="46"/>
      <c r="J18" s="47"/>
    </row>
    <row r="21" spans="1:10" ht="16.2" customHeight="1">
      <c r="A21" s="50" t="s">
        <v>166</v>
      </c>
      <c r="B21" s="42"/>
      <c r="C21" s="42"/>
      <c r="D21" s="42"/>
      <c r="E21" s="42"/>
      <c r="F21" s="42"/>
      <c r="G21" s="42"/>
      <c r="H21" s="42"/>
      <c r="I21" s="42"/>
      <c r="J21" s="42"/>
    </row>
    <row r="22" spans="1:10" ht="40.049999999999997" customHeight="1">
      <c r="A22" s="2" t="s">
        <v>167</v>
      </c>
      <c r="B22" s="2" t="s">
        <v>168</v>
      </c>
      <c r="C22" s="51" t="s">
        <v>169</v>
      </c>
      <c r="D22" s="46"/>
      <c r="E22" s="46"/>
      <c r="F22" s="46"/>
      <c r="G22" s="46"/>
      <c r="H22" s="46"/>
      <c r="I22" s="46"/>
      <c r="J22" s="47"/>
    </row>
    <row r="23" spans="1:10" ht="20.399999999999999" customHeight="1">
      <c r="A23" s="37" t="s">
        <v>170</v>
      </c>
      <c r="B23" s="38">
        <f>COUNTIF('01_员工名单'!A5:A102,"&lt;&gt;")</f>
        <v>45</v>
      </c>
      <c r="C23" s="53" t="s">
        <v>171</v>
      </c>
      <c r="D23" s="46"/>
      <c r="E23" s="46"/>
      <c r="F23" s="46"/>
      <c r="G23" s="46"/>
      <c r="H23" s="46"/>
      <c r="I23" s="46"/>
      <c r="J23" s="47"/>
    </row>
    <row r="24" spans="1:10" ht="20.399999999999999" customHeight="1">
      <c r="A24" s="39" t="s">
        <v>172</v>
      </c>
      <c r="B24" s="40">
        <f>COUNTIFS('01_员工名单'!A5:A102,"&lt;&gt;",'01_员工名单'!J5:J102,"在岗")</f>
        <v>0</v>
      </c>
      <c r="C24" s="49" t="s">
        <v>171</v>
      </c>
      <c r="D24" s="46"/>
      <c r="E24" s="46"/>
      <c r="F24" s="46"/>
      <c r="G24" s="46"/>
      <c r="H24" s="46"/>
      <c r="I24" s="46"/>
      <c r="J24" s="47"/>
    </row>
    <row r="25" spans="1:10" ht="20.399999999999999" customHeight="1">
      <c r="A25" s="37" t="s">
        <v>173</v>
      </c>
      <c r="B25" s="38">
        <f>COUNTIF('02_组织单元'!A5:A52,"&lt;&gt;")</f>
        <v>17</v>
      </c>
      <c r="C25" s="53" t="s">
        <v>171</v>
      </c>
      <c r="D25" s="46"/>
      <c r="E25" s="46"/>
      <c r="F25" s="46"/>
      <c r="G25" s="46"/>
      <c r="H25" s="46"/>
      <c r="I25" s="46"/>
      <c r="J25" s="47"/>
    </row>
    <row r="26" spans="1:10" ht="20.399999999999999" customHeight="1">
      <c r="A26" s="39" t="s">
        <v>174</v>
      </c>
      <c r="B26" s="40">
        <f>COUNTIF('03_岗位字典'!A5:A80,"&lt;&gt;")</f>
        <v>25</v>
      </c>
      <c r="C26" s="49" t="s">
        <v>171</v>
      </c>
      <c r="D26" s="46"/>
      <c r="E26" s="46"/>
      <c r="F26" s="46"/>
      <c r="G26" s="46"/>
      <c r="H26" s="46"/>
      <c r="I26" s="46"/>
      <c r="J26" s="47"/>
    </row>
    <row r="27" spans="1:10" ht="20.399999999999999" customHeight="1">
      <c r="A27" s="37" t="s">
        <v>175</v>
      </c>
      <c r="B27" s="38">
        <f>COUNTIF('04_RACI职责矩阵'!A5:A86,"&lt;&gt;")</f>
        <v>23</v>
      </c>
      <c r="C27" s="53" t="s">
        <v>171</v>
      </c>
      <c r="D27" s="46"/>
      <c r="E27" s="46"/>
      <c r="F27" s="46"/>
      <c r="G27" s="46"/>
      <c r="H27" s="46"/>
      <c r="I27" s="46"/>
      <c r="J27" s="47"/>
    </row>
    <row r="28" spans="1:10" ht="20.399999999999999" customHeight="1">
      <c r="A28" s="39" t="s">
        <v>176</v>
      </c>
      <c r="B28" s="40">
        <f>COUNTIF('04_RACI职责矩阵'!V5:V86,"&lt;&gt;OK")-COUNTBLANK('04_RACI职责矩阵'!A5:A86)</f>
        <v>0</v>
      </c>
      <c r="C28" s="49" t="s">
        <v>171</v>
      </c>
      <c r="D28" s="46"/>
      <c r="E28" s="46"/>
      <c r="F28" s="46"/>
      <c r="G28" s="46"/>
      <c r="H28" s="46"/>
      <c r="I28" s="46"/>
      <c r="J28" s="47"/>
    </row>
    <row r="30" spans="1:10" ht="31.95" customHeight="1">
      <c r="A30" s="52" t="s">
        <v>177</v>
      </c>
      <c r="B30" s="42"/>
      <c r="C30" s="42"/>
      <c r="D30" s="42"/>
      <c r="E30" s="42"/>
      <c r="F30" s="42"/>
      <c r="G30" s="42"/>
      <c r="H30" s="42"/>
      <c r="I30" s="42"/>
      <c r="J30" s="42"/>
    </row>
    <row r="31" spans="1:10" ht="30" customHeight="1">
      <c r="A31" s="52" t="s">
        <v>178</v>
      </c>
      <c r="B31" s="42"/>
      <c r="C31" s="42"/>
      <c r="D31" s="42"/>
      <c r="E31" s="42"/>
      <c r="F31" s="42"/>
      <c r="G31" s="42"/>
      <c r="H31" s="42"/>
      <c r="I31" s="42"/>
      <c r="J31" s="42"/>
    </row>
  </sheetData>
  <mergeCells count="25">
    <mergeCell ref="A1:J1"/>
    <mergeCell ref="C27:J27"/>
    <mergeCell ref="A16:J16"/>
    <mergeCell ref="C23:J23"/>
    <mergeCell ref="C8:J8"/>
    <mergeCell ref="C7:J7"/>
    <mergeCell ref="A18:J18"/>
    <mergeCell ref="A21:J21"/>
    <mergeCell ref="A2:J2"/>
    <mergeCell ref="C26:J26"/>
    <mergeCell ref="A31:J31"/>
    <mergeCell ref="C25:J25"/>
    <mergeCell ref="C10:J10"/>
    <mergeCell ref="A30:J30"/>
    <mergeCell ref="A15:J15"/>
    <mergeCell ref="C22:J22"/>
    <mergeCell ref="C28:J28"/>
    <mergeCell ref="A14:J14"/>
    <mergeCell ref="A17:J17"/>
    <mergeCell ref="C6:J6"/>
    <mergeCell ref="C24:J24"/>
    <mergeCell ref="A4:J4"/>
    <mergeCell ref="C5:J5"/>
    <mergeCell ref="A13:J13"/>
    <mergeCell ref="C9:J9"/>
  </mergeCells>
  <phoneticPr fontId="16" type="noConversion"/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8"/>
  <sheetViews>
    <sheetView tabSelected="1" workbookViewId="0">
      <pane ySplit="3" topLeftCell="A10" activePane="bottomLeft" state="frozen"/>
      <selection pane="bottomLeft" activeCell="K15" sqref="K15:L16"/>
    </sheetView>
  </sheetViews>
  <sheetFormatPr defaultColWidth="9" defaultRowHeight="14.4"/>
  <sheetData>
    <row r="1" spans="1:25" ht="25.05" customHeight="1">
      <c r="A1" t="s">
        <v>179</v>
      </c>
    </row>
    <row r="2" spans="1:25">
      <c r="A2" t="s">
        <v>180</v>
      </c>
    </row>
    <row r="4" spans="1:25">
      <c r="A4" t="s">
        <v>181</v>
      </c>
    </row>
    <row r="5" spans="1:25">
      <c r="A5" t="s">
        <v>182</v>
      </c>
    </row>
    <row r="7" spans="1:25">
      <c r="A7" s="59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spans="1: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70" t="s">
        <v>782</v>
      </c>
      <c r="L11" s="6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63"/>
      <c r="L12" s="64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61" t="s">
        <v>79</v>
      </c>
      <c r="L15" s="6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63"/>
      <c r="L16" s="64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>
      <c r="A19" s="60"/>
      <c r="B19" s="32"/>
      <c r="C19" s="32"/>
      <c r="D19" s="56" t="s">
        <v>183</v>
      </c>
      <c r="E19" s="60"/>
      <c r="F19" s="32"/>
      <c r="G19" s="32"/>
      <c r="H19" s="32"/>
      <c r="I19" s="56" t="s">
        <v>184</v>
      </c>
      <c r="J19" s="32"/>
      <c r="K19" s="32"/>
      <c r="L19" s="32"/>
      <c r="M19" s="32"/>
      <c r="N19" s="56" t="s">
        <v>185</v>
      </c>
      <c r="O19" s="32"/>
      <c r="P19" s="32"/>
      <c r="Q19" s="32"/>
      <c r="R19" s="32"/>
      <c r="S19" s="56" t="s">
        <v>186</v>
      </c>
      <c r="T19" s="32"/>
      <c r="U19" s="32"/>
      <c r="V19" s="32"/>
      <c r="W19" s="56" t="s">
        <v>187</v>
      </c>
      <c r="X19" s="32"/>
      <c r="Y19" s="32"/>
    </row>
    <row r="20" spans="1:25">
      <c r="A20" s="42"/>
      <c r="B20" s="32"/>
      <c r="C20" s="32"/>
      <c r="D20" s="57"/>
      <c r="E20" s="42"/>
      <c r="F20" s="32"/>
      <c r="G20" s="32"/>
      <c r="H20" s="32"/>
      <c r="I20" s="57"/>
      <c r="J20" s="32"/>
      <c r="K20" s="32"/>
      <c r="L20" s="32"/>
      <c r="M20" s="32"/>
      <c r="N20" s="57"/>
      <c r="O20" s="32"/>
      <c r="P20" s="32"/>
      <c r="Q20" s="32"/>
      <c r="R20" s="32"/>
      <c r="S20" s="57"/>
      <c r="T20" s="32"/>
      <c r="U20" s="32"/>
      <c r="V20" s="32"/>
      <c r="W20" s="57"/>
      <c r="X20" s="32"/>
      <c r="Y20" s="32"/>
    </row>
    <row r="21" spans="1:25">
      <c r="A21" s="42"/>
      <c r="B21" s="32"/>
      <c r="C21" s="32"/>
      <c r="D21" s="58"/>
      <c r="E21" s="42"/>
      <c r="F21" s="32"/>
      <c r="G21" s="32"/>
      <c r="H21" s="32"/>
      <c r="I21" s="58"/>
      <c r="J21" s="32"/>
      <c r="K21" s="32"/>
      <c r="L21" s="32"/>
      <c r="M21" s="32"/>
      <c r="N21" s="58"/>
      <c r="O21" s="32"/>
      <c r="P21" s="32"/>
      <c r="Q21" s="32"/>
      <c r="R21" s="32"/>
      <c r="S21" s="58"/>
      <c r="T21" s="32"/>
      <c r="U21" s="32"/>
      <c r="V21" s="32"/>
      <c r="W21" s="58"/>
      <c r="X21" s="32"/>
      <c r="Y21" s="32"/>
    </row>
    <row r="22" spans="1:25" ht="36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>
      <c r="A23" s="56" t="s">
        <v>188</v>
      </c>
      <c r="B23" s="32"/>
      <c r="C23" s="32"/>
      <c r="D23" s="56" t="s">
        <v>189</v>
      </c>
      <c r="E23" s="32"/>
      <c r="F23" s="56" t="s">
        <v>190</v>
      </c>
      <c r="G23" s="32"/>
      <c r="H23" s="56" t="s">
        <v>191</v>
      </c>
      <c r="I23" s="32"/>
      <c r="J23" s="56" t="s">
        <v>192</v>
      </c>
      <c r="K23" s="32"/>
      <c r="L23" s="56" t="s">
        <v>193</v>
      </c>
      <c r="M23" s="33"/>
      <c r="N23" s="56" t="s">
        <v>194</v>
      </c>
      <c r="O23" s="60"/>
      <c r="P23" s="56" t="s">
        <v>195</v>
      </c>
      <c r="Q23" s="33"/>
      <c r="R23" s="56" t="s">
        <v>196</v>
      </c>
      <c r="S23" s="32"/>
      <c r="T23" s="56" t="s">
        <v>197</v>
      </c>
      <c r="U23" s="32"/>
      <c r="V23" s="56" t="s">
        <v>198</v>
      </c>
      <c r="W23" s="32"/>
      <c r="X23" s="56" t="s">
        <v>199</v>
      </c>
      <c r="Y23" s="32"/>
    </row>
    <row r="24" spans="1:25">
      <c r="A24" s="57"/>
      <c r="B24" s="32"/>
      <c r="C24" s="32"/>
      <c r="D24" s="57"/>
      <c r="E24" s="32"/>
      <c r="F24" s="57"/>
      <c r="G24" s="32"/>
      <c r="H24" s="57"/>
      <c r="I24" s="32"/>
      <c r="J24" s="57"/>
      <c r="K24" s="32"/>
      <c r="L24" s="57"/>
      <c r="M24" s="34"/>
      <c r="N24" s="57"/>
      <c r="O24" s="42"/>
      <c r="P24" s="57"/>
      <c r="Q24" s="34"/>
      <c r="R24" s="57"/>
      <c r="S24" s="32"/>
      <c r="T24" s="57"/>
      <c r="U24" s="32"/>
      <c r="V24" s="57"/>
      <c r="W24" s="32"/>
      <c r="X24" s="57"/>
      <c r="Y24" s="32"/>
    </row>
    <row r="25" spans="1:25">
      <c r="A25" s="57"/>
      <c r="B25" s="32"/>
      <c r="C25" s="32"/>
      <c r="D25" s="57"/>
      <c r="E25" s="32"/>
      <c r="F25" s="57"/>
      <c r="G25" s="32"/>
      <c r="H25" s="57"/>
      <c r="I25" s="32"/>
      <c r="J25" s="57"/>
      <c r="K25" s="32"/>
      <c r="L25" s="57"/>
      <c r="M25" s="34"/>
      <c r="N25" s="57"/>
      <c r="O25" s="42"/>
      <c r="P25" s="57"/>
      <c r="Q25" s="34"/>
      <c r="R25" s="57"/>
      <c r="S25" s="32"/>
      <c r="T25" s="57"/>
      <c r="U25" s="32"/>
      <c r="V25" s="57"/>
      <c r="W25" s="32"/>
      <c r="X25" s="57"/>
      <c r="Y25" s="32"/>
    </row>
    <row r="26" spans="1:25">
      <c r="A26" s="58"/>
      <c r="B26" s="32"/>
      <c r="C26" s="32"/>
      <c r="D26" s="58"/>
      <c r="E26" s="32"/>
      <c r="F26" s="58"/>
      <c r="G26" s="32"/>
      <c r="H26" s="58"/>
      <c r="I26" s="32"/>
      <c r="J26" s="58"/>
      <c r="K26" s="32"/>
      <c r="L26" s="58"/>
      <c r="M26" s="34"/>
      <c r="N26" s="58"/>
      <c r="O26" s="42"/>
      <c r="P26" s="58"/>
      <c r="Q26" s="34"/>
      <c r="R26" s="58"/>
      <c r="S26" s="32"/>
      <c r="T26" s="58"/>
      <c r="U26" s="32"/>
      <c r="V26" s="58"/>
      <c r="W26" s="32"/>
      <c r="X26" s="58"/>
      <c r="Y26" s="32"/>
    </row>
    <row r="27" spans="1: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</sheetData>
  <mergeCells count="23">
    <mergeCell ref="A7:Y8"/>
    <mergeCell ref="A19:A21"/>
    <mergeCell ref="D19:D21"/>
    <mergeCell ref="W19:W21"/>
    <mergeCell ref="F23:F26"/>
    <mergeCell ref="N23:N26"/>
    <mergeCell ref="P23:P26"/>
    <mergeCell ref="A23:A26"/>
    <mergeCell ref="T23:T26"/>
    <mergeCell ref="K15:L16"/>
    <mergeCell ref="L23:L26"/>
    <mergeCell ref="O23:O26"/>
    <mergeCell ref="D23:D26"/>
    <mergeCell ref="E19:E21"/>
    <mergeCell ref="S19:S21"/>
    <mergeCell ref="K11:L12"/>
    <mergeCell ref="R23:R26"/>
    <mergeCell ref="X23:X26"/>
    <mergeCell ref="H23:H26"/>
    <mergeCell ref="N19:N21"/>
    <mergeCell ref="V23:V26"/>
    <mergeCell ref="I19:I21"/>
    <mergeCell ref="J23:J26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showGridLines="0" workbookViewId="0">
      <pane ySplit="4" topLeftCell="A5" activePane="bottomLeft" state="frozen"/>
      <selection pane="bottomLeft" activeCell="D23" sqref="D23"/>
    </sheetView>
  </sheetViews>
  <sheetFormatPr defaultColWidth="9" defaultRowHeight="14.4"/>
  <cols>
    <col min="1" max="2" width="14" customWidth="1"/>
    <col min="3" max="3" width="16" customWidth="1"/>
    <col min="4" max="4" width="20" customWidth="1"/>
    <col min="5" max="5" width="18" customWidth="1"/>
    <col min="6" max="6" width="14" customWidth="1"/>
    <col min="7" max="7" width="12" customWidth="1"/>
  </cols>
  <sheetData>
    <row r="1" spans="1:8" ht="30" customHeight="1">
      <c r="A1" s="66" t="s">
        <v>200</v>
      </c>
      <c r="B1" s="42"/>
      <c r="C1" s="42"/>
      <c r="D1" s="42"/>
      <c r="E1" s="42"/>
      <c r="F1" s="42"/>
      <c r="G1" s="42"/>
    </row>
    <row r="2" spans="1:8" ht="34.049999999999997" customHeight="1">
      <c r="A2" s="65" t="s">
        <v>201</v>
      </c>
      <c r="B2" s="42"/>
      <c r="C2" s="42"/>
      <c r="D2" s="42"/>
      <c r="E2" s="42"/>
      <c r="F2" s="42"/>
      <c r="G2" s="42"/>
    </row>
    <row r="4" spans="1:8" ht="34.049999999999997" customHeight="1">
      <c r="A4" s="28" t="s">
        <v>202</v>
      </c>
      <c r="B4" s="28" t="s">
        <v>203</v>
      </c>
      <c r="C4" s="28" t="s">
        <v>204</v>
      </c>
      <c r="D4" s="28" t="s">
        <v>205</v>
      </c>
      <c r="E4" s="28" t="s">
        <v>206</v>
      </c>
      <c r="F4" s="28" t="s">
        <v>207</v>
      </c>
      <c r="G4" s="28" t="s">
        <v>208</v>
      </c>
      <c r="H4" s="28" t="s">
        <v>209</v>
      </c>
    </row>
    <row r="5" spans="1:8" ht="15" customHeight="1">
      <c r="A5" s="29" t="s">
        <v>84</v>
      </c>
      <c r="B5" s="29" t="s">
        <v>85</v>
      </c>
      <c r="C5" s="29" t="s">
        <v>83</v>
      </c>
      <c r="D5" s="29" t="s">
        <v>116</v>
      </c>
      <c r="E5" s="29"/>
      <c r="F5" s="29" t="s">
        <v>83</v>
      </c>
      <c r="G5" s="29" t="s">
        <v>778</v>
      </c>
      <c r="H5" s="29" t="s">
        <v>211</v>
      </c>
    </row>
    <row r="6" spans="1:8" ht="15" customHeight="1">
      <c r="A6" s="29" t="s">
        <v>106</v>
      </c>
      <c r="B6" s="30" t="s">
        <v>107</v>
      </c>
      <c r="C6" s="30" t="s">
        <v>104</v>
      </c>
      <c r="D6" s="30" t="s">
        <v>212</v>
      </c>
      <c r="E6" s="30"/>
      <c r="F6" s="30" t="s">
        <v>104</v>
      </c>
      <c r="G6" s="30" t="s">
        <v>210</v>
      </c>
      <c r="H6" s="30" t="s">
        <v>211</v>
      </c>
    </row>
    <row r="7" spans="1:8" ht="15" customHeight="1">
      <c r="A7" s="29" t="s">
        <v>213</v>
      </c>
      <c r="B7" s="29" t="s">
        <v>214</v>
      </c>
      <c r="C7" s="30" t="s">
        <v>104</v>
      </c>
      <c r="D7" s="29" t="s">
        <v>215</v>
      </c>
      <c r="E7" s="29"/>
      <c r="F7" s="29" t="s">
        <v>104</v>
      </c>
      <c r="G7" s="29" t="s">
        <v>210</v>
      </c>
      <c r="H7" s="29" t="s">
        <v>211</v>
      </c>
    </row>
    <row r="8" spans="1:8" ht="15" customHeight="1">
      <c r="A8" s="29" t="s">
        <v>216</v>
      </c>
      <c r="B8" s="30" t="s">
        <v>217</v>
      </c>
      <c r="C8" s="30" t="s">
        <v>104</v>
      </c>
      <c r="D8" s="29" t="s">
        <v>215</v>
      </c>
      <c r="E8" s="30"/>
      <c r="F8" s="30" t="s">
        <v>104</v>
      </c>
      <c r="G8" s="30" t="s">
        <v>210</v>
      </c>
      <c r="H8" s="30" t="s">
        <v>211</v>
      </c>
    </row>
    <row r="9" spans="1:8" ht="15" customHeight="1">
      <c r="A9" s="29" t="s">
        <v>218</v>
      </c>
      <c r="B9" s="29" t="s">
        <v>219</v>
      </c>
      <c r="C9" s="30" t="s">
        <v>104</v>
      </c>
      <c r="D9" s="29" t="s">
        <v>215</v>
      </c>
      <c r="E9" s="30"/>
      <c r="F9" s="30" t="s">
        <v>104</v>
      </c>
      <c r="G9" s="29" t="s">
        <v>210</v>
      </c>
      <c r="H9" s="29" t="s">
        <v>211</v>
      </c>
    </row>
    <row r="10" spans="1:8" ht="15" customHeight="1">
      <c r="A10" s="29" t="s">
        <v>220</v>
      </c>
      <c r="B10" s="30" t="s">
        <v>221</v>
      </c>
      <c r="C10" s="30" t="s">
        <v>104</v>
      </c>
      <c r="D10" s="29" t="s">
        <v>215</v>
      </c>
      <c r="E10" s="30"/>
      <c r="F10" s="30" t="s">
        <v>104</v>
      </c>
      <c r="G10" s="30" t="s">
        <v>210</v>
      </c>
      <c r="H10" s="30" t="s">
        <v>211</v>
      </c>
    </row>
    <row r="11" spans="1:8" ht="15" customHeight="1">
      <c r="A11" s="29" t="s">
        <v>222</v>
      </c>
      <c r="B11" s="29" t="s">
        <v>223</v>
      </c>
      <c r="C11" s="30" t="s">
        <v>104</v>
      </c>
      <c r="D11" s="29" t="s">
        <v>215</v>
      </c>
      <c r="E11" s="29"/>
      <c r="F11" s="29" t="s">
        <v>104</v>
      </c>
      <c r="G11" s="29" t="s">
        <v>210</v>
      </c>
      <c r="H11" s="29" t="s">
        <v>211</v>
      </c>
    </row>
    <row r="12" spans="1:8" ht="15" customHeight="1">
      <c r="A12" s="29" t="s">
        <v>224</v>
      </c>
      <c r="B12" s="30" t="s">
        <v>225</v>
      </c>
      <c r="C12" s="30" t="s">
        <v>49</v>
      </c>
      <c r="D12" s="30" t="s">
        <v>226</v>
      </c>
      <c r="E12" s="30"/>
      <c r="F12" s="30" t="s">
        <v>49</v>
      </c>
      <c r="G12" s="30" t="s">
        <v>210</v>
      </c>
      <c r="H12" s="30" t="s">
        <v>211</v>
      </c>
    </row>
    <row r="13" spans="1:8" ht="15" customHeight="1">
      <c r="A13" s="29" t="s">
        <v>227</v>
      </c>
      <c r="B13" s="29" t="s">
        <v>228</v>
      </c>
      <c r="C13" s="30" t="s">
        <v>49</v>
      </c>
      <c r="D13" s="29" t="s">
        <v>229</v>
      </c>
      <c r="E13" s="29"/>
      <c r="F13" s="29" t="s">
        <v>49</v>
      </c>
      <c r="G13" s="29" t="s">
        <v>210</v>
      </c>
      <c r="H13" s="29" t="s">
        <v>211</v>
      </c>
    </row>
    <row r="14" spans="1:8" ht="15" customHeight="1">
      <c r="A14" s="29" t="s">
        <v>230</v>
      </c>
      <c r="B14" s="30" t="s">
        <v>231</v>
      </c>
      <c r="C14" s="30" t="s">
        <v>49</v>
      </c>
      <c r="D14" s="30" t="s">
        <v>229</v>
      </c>
      <c r="E14" s="30"/>
      <c r="F14" s="30" t="s">
        <v>49</v>
      </c>
      <c r="G14" s="30" t="s">
        <v>210</v>
      </c>
      <c r="H14" s="30" t="s">
        <v>211</v>
      </c>
    </row>
    <row r="15" spans="1:8" ht="15" customHeight="1">
      <c r="A15" s="29" t="s">
        <v>232</v>
      </c>
      <c r="B15" s="29" t="s">
        <v>233</v>
      </c>
      <c r="C15" s="29" t="s">
        <v>19</v>
      </c>
      <c r="D15" s="29" t="s">
        <v>234</v>
      </c>
      <c r="E15" s="29"/>
      <c r="F15" s="29" t="s">
        <v>19</v>
      </c>
      <c r="G15" s="29" t="s">
        <v>210</v>
      </c>
      <c r="H15" s="29" t="s">
        <v>211</v>
      </c>
    </row>
    <row r="16" spans="1:8" ht="15" customHeight="1">
      <c r="A16" s="29" t="s">
        <v>235</v>
      </c>
      <c r="B16" s="30" t="s">
        <v>236</v>
      </c>
      <c r="C16" s="30" t="s">
        <v>31</v>
      </c>
      <c r="D16" s="30" t="s">
        <v>237</v>
      </c>
      <c r="E16" s="30"/>
      <c r="F16" s="30" t="s">
        <v>31</v>
      </c>
      <c r="G16" s="30" t="s">
        <v>210</v>
      </c>
      <c r="H16" s="30" t="s">
        <v>211</v>
      </c>
    </row>
    <row r="17" spans="1:8" ht="15" customHeight="1">
      <c r="A17" s="29" t="s">
        <v>22</v>
      </c>
      <c r="B17" s="29" t="s">
        <v>23</v>
      </c>
      <c r="C17" s="29" t="s">
        <v>73</v>
      </c>
      <c r="D17" s="29" t="s">
        <v>238</v>
      </c>
      <c r="E17" s="29" t="s">
        <v>234</v>
      </c>
      <c r="F17" s="29" t="s">
        <v>73</v>
      </c>
      <c r="G17" s="29" t="s">
        <v>210</v>
      </c>
      <c r="H17" s="29" t="s">
        <v>211</v>
      </c>
    </row>
    <row r="18" spans="1:8" ht="15" customHeight="1">
      <c r="A18" s="29" t="s">
        <v>239</v>
      </c>
      <c r="B18" s="30" t="s">
        <v>240</v>
      </c>
      <c r="C18" s="30" t="s">
        <v>31</v>
      </c>
      <c r="D18" s="30" t="s">
        <v>237</v>
      </c>
      <c r="E18" s="30"/>
      <c r="F18" s="30" t="s">
        <v>31</v>
      </c>
      <c r="G18" s="30" t="s">
        <v>210</v>
      </c>
      <c r="H18" s="30" t="s">
        <v>211</v>
      </c>
    </row>
    <row r="19" spans="1:8" ht="15" customHeight="1">
      <c r="A19" s="29" t="s">
        <v>43</v>
      </c>
      <c r="B19" s="29" t="s">
        <v>44</v>
      </c>
      <c r="C19" s="29" t="s">
        <v>42</v>
      </c>
      <c r="D19" s="29" t="s">
        <v>241</v>
      </c>
      <c r="E19" s="29"/>
      <c r="F19" s="29" t="s">
        <v>42</v>
      </c>
      <c r="G19" s="29" t="s">
        <v>210</v>
      </c>
      <c r="H19" s="29" t="s">
        <v>211</v>
      </c>
    </row>
    <row r="20" spans="1:8" ht="15" customHeight="1">
      <c r="A20" s="29" t="s">
        <v>36</v>
      </c>
      <c r="B20" s="30" t="s">
        <v>37</v>
      </c>
      <c r="C20" s="30" t="s">
        <v>58</v>
      </c>
      <c r="D20" s="30" t="s">
        <v>242</v>
      </c>
      <c r="E20" s="30" t="s">
        <v>243</v>
      </c>
      <c r="F20" s="30" t="s">
        <v>58</v>
      </c>
      <c r="G20" s="30" t="s">
        <v>210</v>
      </c>
      <c r="H20" s="30" t="s">
        <v>211</v>
      </c>
    </row>
    <row r="21" spans="1:8" ht="15" customHeight="1">
      <c r="A21" s="29" t="s">
        <v>75</v>
      </c>
      <c r="B21" s="29" t="s">
        <v>76</v>
      </c>
      <c r="C21" s="29" t="s">
        <v>73</v>
      </c>
      <c r="D21" s="29" t="s">
        <v>110</v>
      </c>
      <c r="E21" s="29"/>
      <c r="F21" s="29" t="s">
        <v>73</v>
      </c>
      <c r="G21" s="30" t="s">
        <v>210</v>
      </c>
      <c r="H21" s="29" t="s">
        <v>211</v>
      </c>
    </row>
    <row r="22" spans="1:8" ht="15" customHeight="1">
      <c r="A22" s="29" t="s">
        <v>120</v>
      </c>
      <c r="B22" s="30" t="s">
        <v>121</v>
      </c>
      <c r="C22" s="30" t="s">
        <v>119</v>
      </c>
      <c r="D22" s="30" t="s">
        <v>244</v>
      </c>
      <c r="E22" s="30"/>
      <c r="F22" s="30" t="s">
        <v>119</v>
      </c>
      <c r="G22" s="30" t="s">
        <v>210</v>
      </c>
      <c r="H22" s="30" t="s">
        <v>211</v>
      </c>
    </row>
    <row r="23" spans="1:8" ht="15" customHeight="1">
      <c r="A23" s="29" t="s">
        <v>65</v>
      </c>
      <c r="B23" s="29" t="s">
        <v>66</v>
      </c>
      <c r="C23" s="29" t="s">
        <v>63</v>
      </c>
      <c r="D23" s="31" t="s">
        <v>779</v>
      </c>
      <c r="E23" s="29" t="s">
        <v>780</v>
      </c>
      <c r="F23" s="29" t="s">
        <v>63</v>
      </c>
      <c r="G23" s="30" t="s">
        <v>210</v>
      </c>
      <c r="H23" s="29" t="s">
        <v>211</v>
      </c>
    </row>
    <row r="24" spans="1:8" ht="15" customHeight="1">
      <c r="A24" s="29" t="s">
        <v>51</v>
      </c>
      <c r="B24" s="30" t="s">
        <v>52</v>
      </c>
      <c r="C24" s="30" t="s">
        <v>63</v>
      </c>
      <c r="D24" s="30" t="s">
        <v>69</v>
      </c>
      <c r="E24" s="30" t="s">
        <v>781</v>
      </c>
      <c r="F24" s="30" t="s">
        <v>63</v>
      </c>
      <c r="G24" s="30" t="s">
        <v>210</v>
      </c>
      <c r="H24" s="30" t="s">
        <v>211</v>
      </c>
    </row>
    <row r="25" spans="1:8" ht="15" customHeight="1">
      <c r="A25" s="29" t="s">
        <v>134</v>
      </c>
      <c r="B25" s="29" t="s">
        <v>135</v>
      </c>
      <c r="C25" s="29" t="s">
        <v>133</v>
      </c>
      <c r="D25" s="29" t="s">
        <v>246</v>
      </c>
      <c r="E25" s="29"/>
      <c r="F25" s="29" t="s">
        <v>133</v>
      </c>
      <c r="G25" s="29" t="s">
        <v>210</v>
      </c>
      <c r="H25" s="29" t="s">
        <v>211</v>
      </c>
    </row>
    <row r="26" spans="1:8" ht="15" customHeight="1">
      <c r="A26" s="29" t="s">
        <v>247</v>
      </c>
      <c r="B26" s="30" t="s">
        <v>248</v>
      </c>
      <c r="C26" s="29" t="s">
        <v>133</v>
      </c>
      <c r="D26" s="30" t="s">
        <v>249</v>
      </c>
      <c r="E26" s="30"/>
      <c r="F26" s="30" t="s">
        <v>133</v>
      </c>
      <c r="G26" s="30" t="s">
        <v>210</v>
      </c>
      <c r="H26" s="30" t="s">
        <v>211</v>
      </c>
    </row>
    <row r="27" spans="1:8" ht="15" customHeight="1">
      <c r="A27" s="29" t="s">
        <v>250</v>
      </c>
      <c r="B27" s="29" t="s">
        <v>251</v>
      </c>
      <c r="C27" s="29" t="s">
        <v>133</v>
      </c>
      <c r="D27" s="29" t="s">
        <v>249</v>
      </c>
      <c r="E27" s="29"/>
      <c r="F27" s="29" t="s">
        <v>133</v>
      </c>
      <c r="G27" s="29" t="s">
        <v>210</v>
      </c>
      <c r="H27" s="29" t="s">
        <v>211</v>
      </c>
    </row>
    <row r="28" spans="1:8" ht="15" customHeight="1">
      <c r="A28" s="29" t="s">
        <v>252</v>
      </c>
      <c r="B28" s="30" t="s">
        <v>253</v>
      </c>
      <c r="C28" s="29" t="s">
        <v>133</v>
      </c>
      <c r="D28" s="30" t="s">
        <v>249</v>
      </c>
      <c r="E28" s="30"/>
      <c r="F28" s="30" t="s">
        <v>133</v>
      </c>
      <c r="G28" s="30" t="s">
        <v>210</v>
      </c>
      <c r="H28" s="30" t="s">
        <v>211</v>
      </c>
    </row>
    <row r="29" spans="1:8" ht="15" customHeight="1">
      <c r="A29" s="29" t="s">
        <v>254</v>
      </c>
      <c r="B29" s="29" t="s">
        <v>255</v>
      </c>
      <c r="C29" s="29" t="s">
        <v>133</v>
      </c>
      <c r="D29" s="29" t="s">
        <v>249</v>
      </c>
      <c r="E29" s="29"/>
      <c r="F29" s="29" t="s">
        <v>133</v>
      </c>
      <c r="G29" s="29" t="s">
        <v>210</v>
      </c>
      <c r="H29" s="29" t="s">
        <v>211</v>
      </c>
    </row>
    <row r="30" spans="1:8" ht="15" customHeight="1">
      <c r="A30" s="29" t="s">
        <v>127</v>
      </c>
      <c r="B30" s="30" t="s">
        <v>256</v>
      </c>
      <c r="C30" s="30" t="s">
        <v>126</v>
      </c>
      <c r="D30" s="30" t="s">
        <v>257</v>
      </c>
      <c r="E30" s="30"/>
      <c r="F30" s="30" t="s">
        <v>126</v>
      </c>
      <c r="G30" s="30" t="s">
        <v>210</v>
      </c>
      <c r="H30" s="30" t="s">
        <v>211</v>
      </c>
    </row>
    <row r="31" spans="1:8" ht="15" customHeight="1">
      <c r="A31" s="29" t="s">
        <v>258</v>
      </c>
      <c r="B31" s="29" t="s">
        <v>259</v>
      </c>
      <c r="C31" s="29" t="s">
        <v>126</v>
      </c>
      <c r="D31" s="29" t="s">
        <v>260</v>
      </c>
      <c r="E31" s="29"/>
      <c r="F31" s="29" t="s">
        <v>126</v>
      </c>
      <c r="G31" s="29" t="s">
        <v>210</v>
      </c>
      <c r="H31" s="29" t="s">
        <v>211</v>
      </c>
    </row>
    <row r="32" spans="1:8" ht="15" customHeight="1">
      <c r="A32" s="29" t="s">
        <v>261</v>
      </c>
      <c r="B32" s="30" t="s">
        <v>262</v>
      </c>
      <c r="C32" s="30" t="s">
        <v>126</v>
      </c>
      <c r="D32" s="30" t="s">
        <v>260</v>
      </c>
      <c r="E32" s="30"/>
      <c r="F32" s="30" t="s">
        <v>126</v>
      </c>
      <c r="G32" s="30" t="s">
        <v>210</v>
      </c>
      <c r="H32" s="30" t="s">
        <v>211</v>
      </c>
    </row>
    <row r="33" spans="1:8" ht="15" customHeight="1">
      <c r="A33" s="29" t="s">
        <v>263</v>
      </c>
      <c r="B33" s="29" t="s">
        <v>264</v>
      </c>
      <c r="C33" s="29" t="s">
        <v>126</v>
      </c>
      <c r="D33" s="29" t="s">
        <v>260</v>
      </c>
      <c r="E33" s="29"/>
      <c r="F33" s="29" t="s">
        <v>126</v>
      </c>
      <c r="G33" s="29" t="s">
        <v>210</v>
      </c>
      <c r="H33" s="29" t="s">
        <v>211</v>
      </c>
    </row>
    <row r="34" spans="1:8" ht="15" customHeight="1">
      <c r="A34" s="29" t="s">
        <v>265</v>
      </c>
      <c r="B34" s="30" t="s">
        <v>266</v>
      </c>
      <c r="C34" s="30" t="s">
        <v>126</v>
      </c>
      <c r="D34" s="30" t="s">
        <v>257</v>
      </c>
      <c r="E34" s="30"/>
      <c r="F34" s="30" t="s">
        <v>126</v>
      </c>
      <c r="G34" s="30" t="s">
        <v>210</v>
      </c>
      <c r="H34" s="30" t="s">
        <v>211</v>
      </c>
    </row>
    <row r="35" spans="1:8" ht="15" customHeight="1">
      <c r="A35" s="29" t="s">
        <v>267</v>
      </c>
      <c r="B35" s="29" t="s">
        <v>268</v>
      </c>
      <c r="C35" s="29" t="s">
        <v>126</v>
      </c>
      <c r="D35" s="29" t="s">
        <v>260</v>
      </c>
      <c r="E35" s="29"/>
      <c r="F35" s="29" t="s">
        <v>126</v>
      </c>
      <c r="G35" s="29" t="s">
        <v>210</v>
      </c>
      <c r="H35" s="29" t="s">
        <v>211</v>
      </c>
    </row>
    <row r="36" spans="1:8" ht="15" customHeight="1">
      <c r="A36" s="29" t="s">
        <v>269</v>
      </c>
      <c r="B36" s="30" t="s">
        <v>270</v>
      </c>
      <c r="C36" s="30" t="s">
        <v>126</v>
      </c>
      <c r="D36" s="29" t="s">
        <v>260</v>
      </c>
      <c r="E36" s="30"/>
      <c r="F36" s="30" t="s">
        <v>126</v>
      </c>
      <c r="G36" s="30" t="s">
        <v>210</v>
      </c>
      <c r="H36" s="30" t="s">
        <v>211</v>
      </c>
    </row>
    <row r="37" spans="1:8" ht="15" customHeight="1">
      <c r="A37" s="29" t="s">
        <v>271</v>
      </c>
      <c r="B37" s="29" t="s">
        <v>272</v>
      </c>
      <c r="C37" s="29" t="s">
        <v>126</v>
      </c>
      <c r="D37" s="29" t="s">
        <v>260</v>
      </c>
      <c r="E37" s="29"/>
      <c r="F37" s="29" t="s">
        <v>126</v>
      </c>
      <c r="G37" s="29" t="s">
        <v>210</v>
      </c>
      <c r="H37" s="29" t="s">
        <v>211</v>
      </c>
    </row>
    <row r="38" spans="1:8" ht="15" customHeight="1">
      <c r="A38" s="29" t="s">
        <v>273</v>
      </c>
      <c r="B38" s="30" t="s">
        <v>274</v>
      </c>
      <c r="C38" s="30" t="s">
        <v>126</v>
      </c>
      <c r="D38" s="30" t="s">
        <v>260</v>
      </c>
      <c r="E38" s="30"/>
      <c r="F38" s="30" t="s">
        <v>126</v>
      </c>
      <c r="G38" s="30" t="s">
        <v>210</v>
      </c>
      <c r="H38" s="30" t="s">
        <v>211</v>
      </c>
    </row>
    <row r="39" spans="1:8" ht="15" customHeight="1">
      <c r="A39" s="29" t="s">
        <v>275</v>
      </c>
      <c r="B39" s="29" t="s">
        <v>276</v>
      </c>
      <c r="C39" s="29" t="s">
        <v>126</v>
      </c>
      <c r="D39" s="30" t="s">
        <v>260</v>
      </c>
      <c r="E39" s="29"/>
      <c r="F39" s="29" t="s">
        <v>126</v>
      </c>
      <c r="G39" s="29" t="s">
        <v>210</v>
      </c>
      <c r="H39" s="29" t="s">
        <v>211</v>
      </c>
    </row>
    <row r="40" spans="1:8" ht="15" customHeight="1">
      <c r="A40" s="29" t="s">
        <v>277</v>
      </c>
      <c r="B40" s="30" t="s">
        <v>278</v>
      </c>
      <c r="C40" s="30" t="s">
        <v>113</v>
      </c>
      <c r="D40" s="30" t="s">
        <v>279</v>
      </c>
      <c r="E40" s="30"/>
      <c r="F40" s="30" t="s">
        <v>113</v>
      </c>
      <c r="G40" s="30" t="s">
        <v>210</v>
      </c>
      <c r="H40" s="30" t="s">
        <v>211</v>
      </c>
    </row>
    <row r="41" spans="1:8" ht="15" customHeight="1">
      <c r="A41" s="29" t="s">
        <v>280</v>
      </c>
      <c r="B41" s="29" t="s">
        <v>281</v>
      </c>
      <c r="C41" s="29" t="s">
        <v>113</v>
      </c>
      <c r="D41" s="29" t="s">
        <v>279</v>
      </c>
      <c r="E41" s="29"/>
      <c r="F41" s="29" t="s">
        <v>113</v>
      </c>
      <c r="G41" s="29" t="s">
        <v>210</v>
      </c>
      <c r="H41" s="29" t="s">
        <v>211</v>
      </c>
    </row>
    <row r="42" spans="1:8" ht="15" customHeight="1">
      <c r="A42" s="29" t="s">
        <v>282</v>
      </c>
      <c r="B42" s="30" t="s">
        <v>283</v>
      </c>
      <c r="C42" s="30" t="s">
        <v>113</v>
      </c>
      <c r="D42" s="30" t="s">
        <v>279</v>
      </c>
      <c r="E42" s="30"/>
      <c r="F42" s="30" t="s">
        <v>113</v>
      </c>
      <c r="G42" s="30" t="s">
        <v>210</v>
      </c>
      <c r="H42" s="30" t="s">
        <v>211</v>
      </c>
    </row>
    <row r="43" spans="1:8" ht="15" customHeight="1">
      <c r="A43" s="29" t="s">
        <v>284</v>
      </c>
      <c r="B43" s="30" t="s">
        <v>285</v>
      </c>
      <c r="C43" s="30" t="s">
        <v>113</v>
      </c>
      <c r="D43" s="30" t="s">
        <v>279</v>
      </c>
      <c r="E43" s="30"/>
      <c r="F43" s="30" t="s">
        <v>113</v>
      </c>
      <c r="G43" s="30" t="s">
        <v>210</v>
      </c>
      <c r="H43" s="30" t="s">
        <v>211</v>
      </c>
    </row>
    <row r="44" spans="1:8" ht="15" customHeight="1">
      <c r="A44" s="29" t="s">
        <v>286</v>
      </c>
      <c r="B44" s="29" t="s">
        <v>287</v>
      </c>
      <c r="C44" s="29" t="s">
        <v>113</v>
      </c>
      <c r="D44" s="29" t="s">
        <v>279</v>
      </c>
      <c r="E44" s="29"/>
      <c r="F44" s="29" t="s">
        <v>113</v>
      </c>
      <c r="G44" s="29" t="s">
        <v>210</v>
      </c>
      <c r="H44" s="29" t="s">
        <v>211</v>
      </c>
    </row>
    <row r="45" spans="1:8" ht="15" customHeight="1">
      <c r="A45" s="29" t="s">
        <v>288</v>
      </c>
      <c r="B45" s="30" t="s">
        <v>289</v>
      </c>
      <c r="C45" s="30" t="s">
        <v>113</v>
      </c>
      <c r="D45" s="30" t="s">
        <v>279</v>
      </c>
      <c r="E45" s="30"/>
      <c r="F45" s="30" t="s">
        <v>113</v>
      </c>
      <c r="G45" s="30" t="s">
        <v>210</v>
      </c>
      <c r="H45" s="30" t="s">
        <v>211</v>
      </c>
    </row>
    <row r="46" spans="1:8" ht="15" customHeight="1">
      <c r="A46" s="29" t="s">
        <v>290</v>
      </c>
      <c r="B46" s="29" t="s">
        <v>291</v>
      </c>
      <c r="C46" s="29" t="s">
        <v>73</v>
      </c>
      <c r="D46" s="29" t="s">
        <v>238</v>
      </c>
      <c r="E46" s="29"/>
      <c r="F46" s="29" t="s">
        <v>73</v>
      </c>
      <c r="G46" s="29" t="s">
        <v>210</v>
      </c>
      <c r="H46" s="29" t="s">
        <v>211</v>
      </c>
    </row>
    <row r="47" spans="1:8" ht="15" customHeight="1">
      <c r="A47" s="29" t="s">
        <v>292</v>
      </c>
      <c r="B47" s="29" t="s">
        <v>293</v>
      </c>
      <c r="C47" s="29" t="s">
        <v>126</v>
      </c>
      <c r="D47" s="30" t="s">
        <v>260</v>
      </c>
      <c r="E47" s="29"/>
      <c r="F47" s="29" t="s">
        <v>126</v>
      </c>
      <c r="G47" s="29" t="s">
        <v>778</v>
      </c>
      <c r="H47" s="29" t="s">
        <v>211</v>
      </c>
    </row>
    <row r="48" spans="1:8" ht="15" customHeight="1">
      <c r="A48" s="29" t="s">
        <v>294</v>
      </c>
      <c r="B48" s="30" t="s">
        <v>295</v>
      </c>
      <c r="C48" s="30" t="s">
        <v>126</v>
      </c>
      <c r="D48" s="30" t="s">
        <v>260</v>
      </c>
      <c r="E48" s="30"/>
      <c r="F48" s="30" t="s">
        <v>126</v>
      </c>
      <c r="G48" s="30" t="s">
        <v>210</v>
      </c>
      <c r="H48" s="30" t="s">
        <v>211</v>
      </c>
    </row>
    <row r="49" spans="1:8" ht="16.5" customHeight="1">
      <c r="A49" s="29" t="s">
        <v>296</v>
      </c>
      <c r="B49" s="29" t="s">
        <v>297</v>
      </c>
      <c r="C49" s="29" t="s">
        <v>113</v>
      </c>
      <c r="D49" s="29" t="s">
        <v>279</v>
      </c>
      <c r="E49" s="29"/>
      <c r="F49" s="29" t="s">
        <v>113</v>
      </c>
      <c r="G49" s="29" t="s">
        <v>298</v>
      </c>
      <c r="H49" s="29" t="s">
        <v>211</v>
      </c>
    </row>
  </sheetData>
  <autoFilter ref="A4:G102" xr:uid="{00000000-0009-0000-0000-000002000000}"/>
  <mergeCells count="2">
    <mergeCell ref="A2:G2"/>
    <mergeCell ref="A1:G1"/>
  </mergeCells>
  <phoneticPr fontId="16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2"/>
  <sheetViews>
    <sheetView showGridLines="0" zoomScale="90" zoomScaleNormal="90" workbookViewId="0">
      <selection activeCell="A4" sqref="A4"/>
    </sheetView>
  </sheetViews>
  <sheetFormatPr defaultColWidth="9" defaultRowHeight="14.4"/>
  <cols>
    <col min="1" max="1" width="16" customWidth="1"/>
    <col min="2" max="2" width="20" customWidth="1"/>
    <col min="3" max="3" width="14" customWidth="1"/>
    <col min="4" max="4" width="18" customWidth="1"/>
    <col min="5" max="6" width="16" customWidth="1"/>
    <col min="7" max="7" width="12" customWidth="1"/>
    <col min="8" max="8" width="12" style="9" customWidth="1"/>
    <col min="9" max="9" width="12" customWidth="1"/>
    <col min="10" max="10" width="18" customWidth="1"/>
    <col min="11" max="11" width="56.44140625" customWidth="1"/>
    <col min="12" max="12" width="28" customWidth="1"/>
    <col min="13" max="13" width="24" customWidth="1"/>
    <col min="14" max="14" width="20" customWidth="1"/>
    <col min="15" max="15" width="24" customWidth="1"/>
  </cols>
  <sheetData>
    <row r="1" spans="1:15" ht="34.049999999999997" customHeight="1">
      <c r="A1" s="44" t="s">
        <v>0</v>
      </c>
      <c r="B1" s="42"/>
      <c r="C1" s="42"/>
      <c r="D1" s="42"/>
      <c r="E1" s="42"/>
      <c r="F1" s="42"/>
      <c r="G1" s="42"/>
      <c r="H1" s="43"/>
      <c r="I1" s="42"/>
      <c r="J1" s="42"/>
      <c r="K1" s="42"/>
      <c r="L1" s="42"/>
    </row>
    <row r="2" spans="1:15" ht="34.049999999999997" customHeight="1">
      <c r="A2" s="41" t="s">
        <v>1</v>
      </c>
      <c r="B2" s="42"/>
      <c r="C2" s="42"/>
      <c r="D2" s="42"/>
      <c r="E2" s="42"/>
      <c r="F2" s="42"/>
      <c r="G2" s="42"/>
      <c r="H2" s="43"/>
      <c r="I2" s="42"/>
      <c r="J2" s="42"/>
      <c r="K2" s="42"/>
      <c r="L2" s="42"/>
      <c r="M2" s="42" t="s">
        <v>2</v>
      </c>
      <c r="N2" s="42"/>
      <c r="O2" s="42"/>
    </row>
    <row r="3" spans="1:15">
      <c r="M3" t="s">
        <v>3</v>
      </c>
      <c r="N3" t="s">
        <v>4</v>
      </c>
      <c r="O3" t="s">
        <v>5</v>
      </c>
    </row>
    <row r="4" spans="1:15" ht="40.049999999999997" customHeight="1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</row>
    <row r="5" spans="1:15" s="20" customFormat="1" ht="15.6" customHeight="1">
      <c r="A5" s="21" t="s">
        <v>18</v>
      </c>
      <c r="B5" s="21" t="s">
        <v>19</v>
      </c>
      <c r="C5" s="21" t="s">
        <v>20</v>
      </c>
      <c r="D5" s="21" t="s">
        <v>21</v>
      </c>
      <c r="E5" s="21" t="s">
        <v>22</v>
      </c>
      <c r="F5" s="21" t="s">
        <v>23</v>
      </c>
      <c r="G5" s="21" t="s">
        <v>24</v>
      </c>
      <c r="H5" s="22"/>
      <c r="I5" s="21"/>
      <c r="J5" s="21" t="s">
        <v>25</v>
      </c>
      <c r="K5" s="23" t="s">
        <v>26</v>
      </c>
      <c r="L5" s="21"/>
      <c r="M5" t="s">
        <v>27</v>
      </c>
      <c r="N5" t="s">
        <v>28</v>
      </c>
      <c r="O5" t="s">
        <v>29</v>
      </c>
    </row>
    <row r="6" spans="1:15" s="20" customFormat="1" ht="15" customHeight="1">
      <c r="A6" s="21" t="s">
        <v>30</v>
      </c>
      <c r="B6" s="21" t="s">
        <v>31</v>
      </c>
      <c r="C6" s="21" t="s">
        <v>20</v>
      </c>
      <c r="D6" s="21" t="s">
        <v>21</v>
      </c>
      <c r="E6" s="21" t="s">
        <v>22</v>
      </c>
      <c r="F6" s="21" t="s">
        <v>23</v>
      </c>
      <c r="G6" s="21" t="s">
        <v>24</v>
      </c>
      <c r="H6" s="22"/>
      <c r="I6" s="21"/>
      <c r="J6" s="21" t="s">
        <v>25</v>
      </c>
      <c r="K6" s="24" t="s">
        <v>32</v>
      </c>
      <c r="L6" s="21"/>
      <c r="M6" t="s">
        <v>27</v>
      </c>
      <c r="N6" t="s">
        <v>28</v>
      </c>
      <c r="O6" t="s">
        <v>33</v>
      </c>
    </row>
    <row r="7" spans="1:15" s="20" customFormat="1" ht="15" customHeight="1">
      <c r="A7" s="25" t="s">
        <v>34</v>
      </c>
      <c r="B7" s="25" t="s">
        <v>35</v>
      </c>
      <c r="C7" s="25" t="s">
        <v>20</v>
      </c>
      <c r="D7" s="25" t="s">
        <v>21</v>
      </c>
      <c r="E7" s="21" t="s">
        <v>36</v>
      </c>
      <c r="F7" s="25" t="s">
        <v>37</v>
      </c>
      <c r="G7" s="25" t="s">
        <v>24</v>
      </c>
      <c r="H7" s="26"/>
      <c r="I7" s="25"/>
      <c r="J7" s="25" t="s">
        <v>38</v>
      </c>
      <c r="K7" s="24" t="s">
        <v>39</v>
      </c>
      <c r="L7" s="25"/>
      <c r="M7" t="s">
        <v>27</v>
      </c>
      <c r="N7" t="s">
        <v>28</v>
      </c>
      <c r="O7" t="s">
        <v>40</v>
      </c>
    </row>
    <row r="8" spans="1:15" ht="15" customHeight="1">
      <c r="A8" s="7" t="s">
        <v>41</v>
      </c>
      <c r="B8" s="7" t="s">
        <v>42</v>
      </c>
      <c r="C8" s="7" t="s">
        <v>20</v>
      </c>
      <c r="D8" s="7" t="s">
        <v>21</v>
      </c>
      <c r="E8" s="7" t="s">
        <v>43</v>
      </c>
      <c r="F8" s="7" t="s">
        <v>44</v>
      </c>
      <c r="G8" s="7" t="s">
        <v>24</v>
      </c>
      <c r="H8" s="16"/>
      <c r="I8" s="7"/>
      <c r="J8" s="7" t="s">
        <v>45</v>
      </c>
      <c r="K8" s="24" t="s">
        <v>46</v>
      </c>
      <c r="L8" s="7"/>
      <c r="M8" t="s">
        <v>27</v>
      </c>
      <c r="N8" t="s">
        <v>28</v>
      </c>
      <c r="O8" t="s">
        <v>47</v>
      </c>
    </row>
    <row r="9" spans="1:15" s="20" customFormat="1" ht="15" customHeight="1">
      <c r="A9" s="21" t="s">
        <v>48</v>
      </c>
      <c r="B9" s="21" t="s">
        <v>49</v>
      </c>
      <c r="C9" s="21" t="s">
        <v>20</v>
      </c>
      <c r="D9" s="21" t="s">
        <v>50</v>
      </c>
      <c r="E9" s="21" t="s">
        <v>51</v>
      </c>
      <c r="F9" s="21" t="s">
        <v>52</v>
      </c>
      <c r="G9" s="21" t="s">
        <v>24</v>
      </c>
      <c r="H9" s="22"/>
      <c r="I9" s="21"/>
      <c r="J9" s="21" t="s">
        <v>53</v>
      </c>
      <c r="K9" s="24" t="s">
        <v>54</v>
      </c>
      <c r="L9" s="21"/>
      <c r="M9" t="s">
        <v>55</v>
      </c>
      <c r="N9" t="s">
        <v>28</v>
      </c>
      <c r="O9" t="s">
        <v>56</v>
      </c>
    </row>
    <row r="10" spans="1:15" ht="15" customHeight="1">
      <c r="A10" s="5" t="s">
        <v>57</v>
      </c>
      <c r="B10" s="5" t="s">
        <v>58</v>
      </c>
      <c r="C10" s="5" t="s">
        <v>20</v>
      </c>
      <c r="D10" s="5" t="s">
        <v>50</v>
      </c>
      <c r="E10" s="21" t="s">
        <v>36</v>
      </c>
      <c r="F10" s="25" t="s">
        <v>37</v>
      </c>
      <c r="G10" s="5" t="s">
        <v>24</v>
      </c>
      <c r="H10" s="12"/>
      <c r="I10" s="5"/>
      <c r="J10" s="5" t="s">
        <v>59</v>
      </c>
      <c r="K10" s="24" t="s">
        <v>60</v>
      </c>
      <c r="L10" s="5"/>
      <c r="M10" t="s">
        <v>55</v>
      </c>
      <c r="N10" t="s">
        <v>28</v>
      </c>
      <c r="O10" t="s">
        <v>61</v>
      </c>
    </row>
    <row r="11" spans="1:15" ht="30" customHeight="1">
      <c r="A11" s="5" t="s">
        <v>62</v>
      </c>
      <c r="B11" s="5" t="s">
        <v>63</v>
      </c>
      <c r="C11" s="5" t="s">
        <v>64</v>
      </c>
      <c r="D11" s="5"/>
      <c r="E11" s="5" t="s">
        <v>65</v>
      </c>
      <c r="F11" s="5" t="s">
        <v>66</v>
      </c>
      <c r="G11" s="5" t="s">
        <v>24</v>
      </c>
      <c r="H11" s="12"/>
      <c r="I11" s="5"/>
      <c r="J11" s="5" t="s">
        <v>67</v>
      </c>
      <c r="K11" s="24" t="s">
        <v>68</v>
      </c>
      <c r="L11" s="5"/>
      <c r="M11" t="s">
        <v>69</v>
      </c>
      <c r="N11" t="s">
        <v>70</v>
      </c>
      <c r="O11" t="s">
        <v>71</v>
      </c>
    </row>
    <row r="12" spans="1:15" s="20" customFormat="1" ht="15" customHeight="1">
      <c r="A12" s="25" t="s">
        <v>72</v>
      </c>
      <c r="B12" s="25" t="s">
        <v>73</v>
      </c>
      <c r="C12" s="25" t="s">
        <v>74</v>
      </c>
      <c r="D12" s="25" t="s">
        <v>62</v>
      </c>
      <c r="E12" s="21" t="s">
        <v>75</v>
      </c>
      <c r="F12" s="25" t="s">
        <v>76</v>
      </c>
      <c r="G12" s="25" t="s">
        <v>24</v>
      </c>
      <c r="H12" s="26"/>
      <c r="I12" s="25"/>
      <c r="J12" s="25" t="s">
        <v>77</v>
      </c>
      <c r="K12" s="24" t="s">
        <v>78</v>
      </c>
      <c r="L12" s="25"/>
      <c r="M12" t="s">
        <v>79</v>
      </c>
      <c r="N12" t="s">
        <v>80</v>
      </c>
      <c r="O12" t="s">
        <v>81</v>
      </c>
    </row>
    <row r="13" spans="1:15" s="20" customFormat="1" ht="15" customHeight="1">
      <c r="A13" s="21" t="s">
        <v>82</v>
      </c>
      <c r="B13" s="21" t="s">
        <v>83</v>
      </c>
      <c r="C13" s="21" t="s">
        <v>74</v>
      </c>
      <c r="D13" s="21" t="s">
        <v>62</v>
      </c>
      <c r="E13" s="21" t="s">
        <v>84</v>
      </c>
      <c r="F13" s="21" t="s">
        <v>85</v>
      </c>
      <c r="G13" s="21" t="s">
        <v>24</v>
      </c>
      <c r="H13" s="22"/>
      <c r="I13" s="21"/>
      <c r="J13" s="21" t="s">
        <v>86</v>
      </c>
      <c r="K13" s="24" t="s">
        <v>87</v>
      </c>
      <c r="L13" s="21"/>
      <c r="M13" t="s">
        <v>79</v>
      </c>
      <c r="N13" t="s">
        <v>80</v>
      </c>
      <c r="O13" t="s">
        <v>88</v>
      </c>
    </row>
    <row r="14" spans="1:15" s="20" customFormat="1" ht="15" customHeight="1">
      <c r="A14" s="21" t="s">
        <v>21</v>
      </c>
      <c r="B14" s="21" t="s">
        <v>89</v>
      </c>
      <c r="C14" s="21" t="s">
        <v>74</v>
      </c>
      <c r="D14" s="21" t="s">
        <v>62</v>
      </c>
      <c r="E14" s="5" t="s">
        <v>65</v>
      </c>
      <c r="F14" s="25" t="s">
        <v>66</v>
      </c>
      <c r="G14" s="21" t="s">
        <v>24</v>
      </c>
      <c r="H14" s="22"/>
      <c r="I14" s="21"/>
      <c r="J14" s="21" t="s">
        <v>90</v>
      </c>
      <c r="K14" s="24" t="s">
        <v>91</v>
      </c>
      <c r="L14" s="21"/>
      <c r="M14" t="s">
        <v>79</v>
      </c>
      <c r="N14" t="s">
        <v>80</v>
      </c>
      <c r="O14" t="s">
        <v>92</v>
      </c>
    </row>
    <row r="15" spans="1:15" s="20" customFormat="1" ht="15" customHeight="1">
      <c r="A15" s="21" t="s">
        <v>93</v>
      </c>
      <c r="B15" s="21" t="s">
        <v>94</v>
      </c>
      <c r="C15" s="21" t="s">
        <v>74</v>
      </c>
      <c r="D15" s="21" t="s">
        <v>62</v>
      </c>
      <c r="E15" s="21" t="s">
        <v>51</v>
      </c>
      <c r="F15" s="21" t="s">
        <v>52</v>
      </c>
      <c r="G15" s="21" t="s">
        <v>24</v>
      </c>
      <c r="H15" s="22"/>
      <c r="I15" s="21"/>
      <c r="J15" s="21" t="s">
        <v>95</v>
      </c>
      <c r="K15" s="24" t="s">
        <v>96</v>
      </c>
      <c r="L15" s="21"/>
      <c r="M15" t="s">
        <v>97</v>
      </c>
      <c r="N15" t="s">
        <v>70</v>
      </c>
      <c r="O15" t="s">
        <v>98</v>
      </c>
    </row>
    <row r="16" spans="1:15" s="20" customFormat="1" ht="15" customHeight="1">
      <c r="A16" s="25" t="s">
        <v>50</v>
      </c>
      <c r="B16" s="25" t="s">
        <v>99</v>
      </c>
      <c r="C16" s="25" t="s">
        <v>74</v>
      </c>
      <c r="D16" s="25" t="s">
        <v>62</v>
      </c>
      <c r="E16" s="25" t="s">
        <v>51</v>
      </c>
      <c r="F16" s="21" t="s">
        <v>52</v>
      </c>
      <c r="G16" s="25" t="s">
        <v>24</v>
      </c>
      <c r="H16" s="26"/>
      <c r="I16" s="25"/>
      <c r="J16" s="25" t="s">
        <v>100</v>
      </c>
      <c r="K16" s="24" t="s">
        <v>101</v>
      </c>
      <c r="L16" s="25"/>
      <c r="M16" t="s">
        <v>79</v>
      </c>
      <c r="N16" t="s">
        <v>80</v>
      </c>
      <c r="O16" t="s">
        <v>102</v>
      </c>
    </row>
    <row r="17" spans="1:15" ht="15" customHeight="1">
      <c r="A17" s="5" t="s">
        <v>103</v>
      </c>
      <c r="B17" s="5" t="s">
        <v>104</v>
      </c>
      <c r="C17" s="5" t="s">
        <v>105</v>
      </c>
      <c r="D17" s="5" t="s">
        <v>72</v>
      </c>
      <c r="E17" s="5" t="s">
        <v>106</v>
      </c>
      <c r="F17" s="5" t="s">
        <v>107</v>
      </c>
      <c r="G17" s="5" t="s">
        <v>24</v>
      </c>
      <c r="H17" s="12"/>
      <c r="I17" s="5"/>
      <c r="J17" s="5" t="s">
        <v>108</v>
      </c>
      <c r="K17" s="24" t="s">
        <v>109</v>
      </c>
      <c r="L17" s="5"/>
      <c r="M17" t="s">
        <v>110</v>
      </c>
      <c r="N17" t="s">
        <v>28</v>
      </c>
      <c r="O17" t="s">
        <v>111</v>
      </c>
    </row>
    <row r="18" spans="1:15" s="20" customFormat="1" ht="15" customHeight="1">
      <c r="A18" s="21" t="s">
        <v>112</v>
      </c>
      <c r="B18" s="21" t="s">
        <v>113</v>
      </c>
      <c r="C18" s="21" t="s">
        <v>105</v>
      </c>
      <c r="D18" s="21" t="s">
        <v>82</v>
      </c>
      <c r="E18" s="21" t="s">
        <v>84</v>
      </c>
      <c r="F18" s="21" t="s">
        <v>85</v>
      </c>
      <c r="G18" s="21" t="s">
        <v>24</v>
      </c>
      <c r="H18" s="22"/>
      <c r="I18" s="21"/>
      <c r="J18" s="21" t="s">
        <v>114</v>
      </c>
      <c r="K18" s="24" t="s">
        <v>115</v>
      </c>
      <c r="L18" s="21"/>
      <c r="M18" t="s">
        <v>116</v>
      </c>
      <c r="N18" t="s">
        <v>28</v>
      </c>
      <c r="O18" t="s">
        <v>117</v>
      </c>
    </row>
    <row r="19" spans="1:15" s="20" customFormat="1" ht="30" customHeight="1">
      <c r="A19" s="25" t="s">
        <v>118</v>
      </c>
      <c r="B19" s="25" t="s">
        <v>119</v>
      </c>
      <c r="C19" s="25" t="s">
        <v>105</v>
      </c>
      <c r="D19" s="25" t="s">
        <v>82</v>
      </c>
      <c r="E19" s="21" t="s">
        <v>120</v>
      </c>
      <c r="F19" s="25" t="s">
        <v>121</v>
      </c>
      <c r="G19" s="25" t="s">
        <v>24</v>
      </c>
      <c r="H19" s="26"/>
      <c r="I19" s="25"/>
      <c r="J19" s="25" t="s">
        <v>122</v>
      </c>
      <c r="K19" s="24" t="s">
        <v>123</v>
      </c>
      <c r="L19" s="25"/>
      <c r="M19" t="s">
        <v>116</v>
      </c>
      <c r="N19" t="s">
        <v>28</v>
      </c>
      <c r="O19" t="s">
        <v>124</v>
      </c>
    </row>
    <row r="20" spans="1:15" s="20" customFormat="1" ht="30" customHeight="1">
      <c r="A20" s="25" t="s">
        <v>125</v>
      </c>
      <c r="B20" s="25" t="s">
        <v>126</v>
      </c>
      <c r="C20" s="25" t="s">
        <v>105</v>
      </c>
      <c r="D20" s="25" t="s">
        <v>82</v>
      </c>
      <c r="E20" s="25" t="s">
        <v>127</v>
      </c>
      <c r="F20" s="25" t="s">
        <v>128</v>
      </c>
      <c r="G20" s="25" t="s">
        <v>24</v>
      </c>
      <c r="H20" s="26"/>
      <c r="I20" s="25"/>
      <c r="J20" s="25" t="s">
        <v>129</v>
      </c>
      <c r="K20" s="24" t="s">
        <v>130</v>
      </c>
      <c r="L20" s="25"/>
      <c r="M20" t="s">
        <v>116</v>
      </c>
      <c r="N20" t="s">
        <v>28</v>
      </c>
      <c r="O20" t="s">
        <v>131</v>
      </c>
    </row>
    <row r="21" spans="1:15" ht="15" customHeight="1">
      <c r="A21" s="7" t="s">
        <v>132</v>
      </c>
      <c r="B21" s="7" t="s">
        <v>133</v>
      </c>
      <c r="C21" s="7" t="s">
        <v>105</v>
      </c>
      <c r="D21" s="7" t="s">
        <v>82</v>
      </c>
      <c r="E21" s="25" t="s">
        <v>134</v>
      </c>
      <c r="F21" s="7" t="s">
        <v>135</v>
      </c>
      <c r="G21" s="5" t="s">
        <v>24</v>
      </c>
      <c r="H21" s="16"/>
      <c r="I21" s="7"/>
      <c r="J21" s="7" t="s">
        <v>136</v>
      </c>
      <c r="K21" s="27" t="s">
        <v>137</v>
      </c>
      <c r="L21" s="7"/>
      <c r="M21" t="s">
        <v>116</v>
      </c>
      <c r="N21" t="s">
        <v>28</v>
      </c>
      <c r="O21" t="s">
        <v>138</v>
      </c>
    </row>
    <row r="22" spans="1:15" ht="15" customHeight="1">
      <c r="A22" s="5"/>
      <c r="B22" s="5"/>
      <c r="C22" s="5"/>
      <c r="D22" s="5"/>
      <c r="E22" s="5"/>
      <c r="F22" s="5"/>
      <c r="G22" s="5"/>
      <c r="H22" s="12"/>
      <c r="I22" s="5"/>
      <c r="J22" s="5"/>
      <c r="K22" s="5"/>
      <c r="L22" s="5"/>
    </row>
    <row r="23" spans="1:15" ht="15" customHeight="1">
      <c r="A23" s="7"/>
      <c r="B23" s="7"/>
      <c r="C23" s="7"/>
      <c r="D23" s="7"/>
      <c r="E23" s="7"/>
      <c r="F23" s="7"/>
      <c r="G23" s="7"/>
      <c r="H23" s="16"/>
      <c r="I23" s="7"/>
      <c r="J23" s="7"/>
      <c r="K23" s="7"/>
      <c r="L23" s="7"/>
    </row>
    <row r="24" spans="1:15" ht="15" customHeight="1">
      <c r="A24" s="5"/>
      <c r="B24" s="5"/>
      <c r="C24" s="5"/>
      <c r="D24" s="5"/>
      <c r="E24" s="5"/>
      <c r="F24" s="5"/>
      <c r="G24" s="5"/>
      <c r="H24" s="12"/>
      <c r="I24" s="5"/>
      <c r="J24" s="5"/>
      <c r="K24" s="5"/>
      <c r="L24" s="5"/>
    </row>
    <row r="25" spans="1:15" ht="15" customHeight="1">
      <c r="A25" s="7"/>
      <c r="B25" s="7"/>
      <c r="C25" s="7"/>
      <c r="D25" s="7"/>
      <c r="E25" s="7"/>
      <c r="F25" s="7"/>
      <c r="G25" s="7"/>
      <c r="H25" s="16"/>
      <c r="I25" s="7"/>
      <c r="J25" s="7"/>
      <c r="K25" s="7"/>
      <c r="L25" s="7"/>
    </row>
    <row r="26" spans="1:15" ht="15" customHeight="1">
      <c r="A26" s="5"/>
      <c r="B26" s="5"/>
      <c r="C26" s="5"/>
      <c r="D26" s="5"/>
      <c r="E26" s="5"/>
      <c r="F26" s="5"/>
      <c r="G26" s="5"/>
      <c r="H26" s="12"/>
      <c r="I26" s="5"/>
      <c r="J26" s="5"/>
      <c r="K26" s="5"/>
      <c r="L26" s="5"/>
    </row>
    <row r="27" spans="1:15" ht="15" customHeight="1">
      <c r="A27" s="7"/>
      <c r="B27" s="7"/>
      <c r="C27" s="7"/>
      <c r="D27" s="7"/>
      <c r="E27" s="7"/>
      <c r="F27" s="7"/>
      <c r="G27" s="7"/>
      <c r="H27" s="16"/>
      <c r="I27" s="7"/>
      <c r="J27" s="7"/>
      <c r="K27" s="7"/>
      <c r="L27" s="7"/>
    </row>
    <row r="28" spans="1:15" ht="15" customHeight="1">
      <c r="A28" s="5"/>
      <c r="B28" s="5"/>
      <c r="C28" s="5"/>
      <c r="D28" s="5"/>
      <c r="E28" s="5"/>
      <c r="F28" s="5"/>
      <c r="G28" s="5"/>
      <c r="H28" s="12"/>
      <c r="I28" s="5"/>
      <c r="J28" s="5"/>
      <c r="K28" s="5"/>
      <c r="L28" s="5"/>
    </row>
    <row r="29" spans="1:15" ht="15" customHeight="1">
      <c r="A29" s="7"/>
      <c r="B29" s="7"/>
      <c r="C29" s="7"/>
      <c r="D29" s="7"/>
      <c r="E29" s="7"/>
      <c r="F29" s="7"/>
      <c r="G29" s="7"/>
      <c r="H29" s="16"/>
      <c r="I29" s="7"/>
      <c r="J29" s="7"/>
      <c r="K29" s="7"/>
      <c r="L29" s="7"/>
    </row>
    <row r="30" spans="1:15" ht="15" customHeight="1">
      <c r="A30" s="5"/>
      <c r="B30" s="5"/>
      <c r="C30" s="5"/>
      <c r="D30" s="5"/>
      <c r="E30" s="5"/>
      <c r="F30" s="5"/>
      <c r="G30" s="5"/>
      <c r="H30" s="12"/>
      <c r="I30" s="5"/>
      <c r="J30" s="5"/>
      <c r="K30" s="5"/>
      <c r="L30" s="5"/>
    </row>
    <row r="31" spans="1:15" ht="15" customHeight="1">
      <c r="A31" s="7"/>
      <c r="B31" s="7"/>
      <c r="C31" s="7"/>
      <c r="D31" s="7"/>
      <c r="E31" s="7"/>
      <c r="F31" s="7"/>
      <c r="G31" s="7"/>
      <c r="H31" s="16"/>
      <c r="I31" s="7"/>
      <c r="J31" s="7"/>
      <c r="K31" s="7"/>
      <c r="L31" s="7"/>
    </row>
    <row r="32" spans="1:15" ht="15" customHeight="1">
      <c r="A32" s="5"/>
      <c r="B32" s="5"/>
      <c r="C32" s="5"/>
      <c r="D32" s="5"/>
      <c r="E32" s="5"/>
      <c r="F32" s="5"/>
      <c r="G32" s="5"/>
      <c r="H32" s="12"/>
      <c r="I32" s="5"/>
      <c r="J32" s="5"/>
      <c r="K32" s="5"/>
      <c r="L32" s="5"/>
    </row>
    <row r="33" spans="1:12" ht="15" customHeight="1">
      <c r="A33" s="7"/>
      <c r="B33" s="7"/>
      <c r="C33" s="7"/>
      <c r="D33" s="7"/>
      <c r="E33" s="7"/>
      <c r="F33" s="7"/>
      <c r="G33" s="7"/>
      <c r="H33" s="16"/>
      <c r="I33" s="7"/>
      <c r="J33" s="7"/>
      <c r="K33" s="7"/>
      <c r="L33" s="7"/>
    </row>
    <row r="34" spans="1:12" ht="15" customHeight="1">
      <c r="A34" s="5"/>
      <c r="B34" s="5"/>
      <c r="C34" s="5"/>
      <c r="D34" s="5"/>
      <c r="E34" s="5"/>
      <c r="F34" s="5"/>
      <c r="G34" s="5"/>
      <c r="H34" s="12"/>
      <c r="I34" s="5"/>
      <c r="J34" s="5"/>
      <c r="K34" s="5"/>
      <c r="L34" s="5"/>
    </row>
    <row r="35" spans="1:12" ht="15" customHeight="1">
      <c r="A35" s="7"/>
      <c r="B35" s="7"/>
      <c r="C35" s="7"/>
      <c r="D35" s="7"/>
      <c r="E35" s="7"/>
      <c r="F35" s="7"/>
      <c r="G35" s="7"/>
      <c r="H35" s="16"/>
      <c r="I35" s="7"/>
      <c r="J35" s="7"/>
      <c r="K35" s="7"/>
      <c r="L35" s="7"/>
    </row>
    <row r="36" spans="1:12" ht="15" customHeight="1">
      <c r="A36" s="5"/>
      <c r="B36" s="5"/>
      <c r="C36" s="5"/>
      <c r="D36" s="5"/>
      <c r="E36" s="5"/>
      <c r="F36" s="5"/>
      <c r="G36" s="5"/>
      <c r="H36" s="12"/>
      <c r="I36" s="5"/>
      <c r="J36" s="5"/>
      <c r="K36" s="5"/>
      <c r="L36" s="5"/>
    </row>
    <row r="37" spans="1:12" ht="15" customHeight="1">
      <c r="A37" s="7"/>
      <c r="B37" s="7"/>
      <c r="C37" s="7"/>
      <c r="D37" s="7"/>
      <c r="E37" s="7"/>
      <c r="F37" s="7"/>
      <c r="G37" s="7"/>
      <c r="H37" s="16"/>
      <c r="I37" s="7"/>
      <c r="J37" s="7"/>
      <c r="K37" s="7"/>
      <c r="L37" s="7"/>
    </row>
    <row r="38" spans="1:12" ht="15" customHeight="1">
      <c r="A38" s="5"/>
      <c r="B38" s="5"/>
      <c r="C38" s="5"/>
      <c r="D38" s="5"/>
      <c r="E38" s="5"/>
      <c r="F38" s="5"/>
      <c r="G38" s="5"/>
      <c r="H38" s="12"/>
      <c r="I38" s="5"/>
      <c r="J38" s="5"/>
      <c r="K38" s="5"/>
      <c r="L38" s="5"/>
    </row>
    <row r="39" spans="1:12" ht="15" customHeight="1">
      <c r="A39" s="7"/>
      <c r="B39" s="7"/>
      <c r="C39" s="7"/>
      <c r="D39" s="7"/>
      <c r="E39" s="7"/>
      <c r="F39" s="7"/>
      <c r="G39" s="7"/>
      <c r="H39" s="16"/>
      <c r="I39" s="7"/>
      <c r="J39" s="7"/>
      <c r="K39" s="7"/>
      <c r="L39" s="7"/>
    </row>
    <row r="40" spans="1:12" ht="15" customHeight="1">
      <c r="A40" s="5"/>
      <c r="B40" s="5"/>
      <c r="C40" s="5"/>
      <c r="D40" s="5"/>
      <c r="E40" s="5"/>
      <c r="F40" s="5"/>
      <c r="G40" s="5"/>
      <c r="H40" s="12"/>
      <c r="I40" s="5"/>
      <c r="J40" s="5"/>
      <c r="K40" s="5"/>
      <c r="L40" s="5"/>
    </row>
    <row r="41" spans="1:12" ht="15" customHeight="1">
      <c r="A41" s="7"/>
      <c r="B41" s="7"/>
      <c r="C41" s="7"/>
      <c r="D41" s="7"/>
      <c r="E41" s="7"/>
      <c r="F41" s="7"/>
      <c r="G41" s="7"/>
      <c r="H41" s="16"/>
      <c r="I41" s="7"/>
      <c r="J41" s="7"/>
      <c r="K41" s="7"/>
      <c r="L41" s="7"/>
    </row>
    <row r="42" spans="1:12" ht="15" customHeight="1">
      <c r="A42" s="5"/>
      <c r="B42" s="5"/>
      <c r="C42" s="5"/>
      <c r="D42" s="5"/>
      <c r="E42" s="5"/>
      <c r="F42" s="5"/>
      <c r="G42" s="5"/>
      <c r="H42" s="12"/>
      <c r="I42" s="5"/>
      <c r="J42" s="5"/>
      <c r="K42" s="5"/>
      <c r="L42" s="5"/>
    </row>
    <row r="43" spans="1:12" ht="15" customHeight="1">
      <c r="A43" s="7"/>
      <c r="B43" s="7"/>
      <c r="C43" s="7"/>
      <c r="D43" s="7"/>
      <c r="E43" s="7"/>
      <c r="F43" s="7"/>
      <c r="G43" s="7"/>
      <c r="H43" s="16"/>
      <c r="I43" s="7"/>
      <c r="J43" s="7"/>
      <c r="K43" s="7"/>
      <c r="L43" s="7"/>
    </row>
    <row r="44" spans="1:12" ht="15" customHeight="1">
      <c r="A44" s="5"/>
      <c r="B44" s="5"/>
      <c r="C44" s="5"/>
      <c r="D44" s="5"/>
      <c r="E44" s="5"/>
      <c r="F44" s="5"/>
      <c r="G44" s="5"/>
      <c r="H44" s="12"/>
      <c r="I44" s="5"/>
      <c r="J44" s="5"/>
      <c r="K44" s="5"/>
      <c r="L44" s="5"/>
    </row>
    <row r="45" spans="1:12" ht="15" customHeight="1">
      <c r="A45" s="7"/>
      <c r="B45" s="7"/>
      <c r="C45" s="7"/>
      <c r="D45" s="7"/>
      <c r="E45" s="7"/>
      <c r="F45" s="7"/>
      <c r="G45" s="7"/>
      <c r="H45" s="16"/>
      <c r="I45" s="7"/>
      <c r="J45" s="7"/>
      <c r="K45" s="7"/>
      <c r="L45" s="7"/>
    </row>
    <row r="46" spans="1:12" ht="15" customHeight="1">
      <c r="A46" s="5"/>
      <c r="B46" s="5"/>
      <c r="C46" s="5"/>
      <c r="D46" s="5"/>
      <c r="E46" s="5"/>
      <c r="F46" s="5"/>
      <c r="G46" s="5"/>
      <c r="H46" s="12"/>
      <c r="I46" s="5"/>
      <c r="J46" s="5"/>
      <c r="K46" s="5"/>
      <c r="L46" s="5"/>
    </row>
    <row r="47" spans="1:12" ht="15" customHeight="1">
      <c r="A47" s="7"/>
      <c r="B47" s="7"/>
      <c r="C47" s="7"/>
      <c r="D47" s="7"/>
      <c r="E47" s="7"/>
      <c r="F47" s="7"/>
      <c r="G47" s="7"/>
      <c r="H47" s="16"/>
      <c r="I47" s="7"/>
      <c r="J47" s="7"/>
      <c r="K47" s="7"/>
      <c r="L47" s="7"/>
    </row>
    <row r="48" spans="1:12" ht="15" customHeight="1">
      <c r="A48" s="5"/>
      <c r="B48" s="5"/>
      <c r="C48" s="5"/>
      <c r="D48" s="5"/>
      <c r="E48" s="5"/>
      <c r="F48" s="5"/>
      <c r="G48" s="5"/>
      <c r="H48" s="12"/>
      <c r="I48" s="5"/>
      <c r="J48" s="5"/>
      <c r="K48" s="5"/>
      <c r="L48" s="5"/>
    </row>
    <row r="49" spans="1:12" ht="15" customHeight="1">
      <c r="A49" s="7"/>
      <c r="B49" s="7"/>
      <c r="C49" s="7"/>
      <c r="D49" s="7"/>
      <c r="E49" s="7"/>
      <c r="F49" s="7"/>
      <c r="G49" s="7"/>
      <c r="H49" s="16"/>
      <c r="I49" s="7"/>
      <c r="J49" s="7"/>
      <c r="K49" s="7"/>
      <c r="L49" s="7"/>
    </row>
    <row r="50" spans="1:12" ht="15" customHeight="1">
      <c r="A50" s="5"/>
      <c r="B50" s="5"/>
      <c r="C50" s="5"/>
      <c r="D50" s="5"/>
      <c r="E50" s="5"/>
      <c r="F50" s="5"/>
      <c r="G50" s="5"/>
      <c r="H50" s="12"/>
      <c r="I50" s="5"/>
      <c r="J50" s="5"/>
      <c r="K50" s="5"/>
      <c r="L50" s="5"/>
    </row>
    <row r="51" spans="1:12" ht="15" customHeight="1">
      <c r="A51" s="7"/>
      <c r="B51" s="7"/>
      <c r="C51" s="7"/>
      <c r="D51" s="7"/>
      <c r="E51" s="7"/>
      <c r="F51" s="7"/>
      <c r="G51" s="7"/>
      <c r="H51" s="16"/>
      <c r="I51" s="7"/>
      <c r="J51" s="7"/>
      <c r="K51" s="7"/>
      <c r="L51" s="7"/>
    </row>
    <row r="52" spans="1:12" ht="15" customHeight="1"/>
  </sheetData>
  <autoFilter ref="A4:L52" xr:uid="{00000000-0009-0000-0000-000003000000}">
    <sortState xmlns:xlrd2="http://schemas.microsoft.com/office/spreadsheetml/2017/richdata2" ref="A4:L52">
      <sortCondition descending="1" ref="C4:C54"/>
    </sortState>
  </autoFilter>
  <mergeCells count="3">
    <mergeCell ref="A2:L2"/>
    <mergeCell ref="M2:O2"/>
    <mergeCell ref="A1:L1"/>
  </mergeCells>
  <phoneticPr fontId="16" type="noConversion"/>
  <dataValidations count="3">
    <dataValidation type="list" allowBlank="1" errorTitle="选项无效" error="请从下拉选项中选择。" promptTitle="填写提示" prompt="请选择标准值。" sqref="B5:B52" xr:uid="{00000000-0002-0000-0300-000000000000}">
      <formula1>Opt_组织单元</formula1>
    </dataValidation>
    <dataValidation type="list" allowBlank="1" errorTitle="填写值无效" error="请从下拉列表中选择标准值。" promptTitle="填写提示" prompt="请选择标准值。" sqref="C5:C52" xr:uid="{00000000-0002-0000-0300-000001000000}">
      <formula1>"公司,部门,班组,项目组,职能单元,其他"</formula1>
    </dataValidation>
    <dataValidation type="list" allowBlank="1" errorTitle="填写值无效" error="请从下拉列表中选择标准值。" promptTitle="填写提示" prompt="请选择标准值。" sqref="G5:G52" xr:uid="{00000000-0002-0000-0300-000002000000}">
      <formula1>"现行,筹备,规划,停用,待确认"</formula1>
    </dataValidation>
  </dataValidations>
  <pageMargins left="0.25" right="0.25" top="0.45" bottom="0.45" header="0.5" footer="0.5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80"/>
  <sheetViews>
    <sheetView showGridLines="0" zoomScale="90" zoomScaleNormal="90" workbookViewId="0">
      <selection activeCell="D10" sqref="D10"/>
    </sheetView>
  </sheetViews>
  <sheetFormatPr defaultColWidth="9" defaultRowHeight="14.4"/>
  <cols>
    <col min="1" max="1" width="22.44140625" customWidth="1"/>
    <col min="2" max="2" width="20" customWidth="1"/>
    <col min="3" max="3" width="18" customWidth="1"/>
    <col min="4" max="4" width="14" customWidth="1"/>
    <col min="5" max="5" width="12" customWidth="1"/>
    <col min="6" max="6" width="53.21875" customWidth="1"/>
    <col min="7" max="7" width="102.33203125" bestFit="1" customWidth="1"/>
    <col min="8" max="8" width="46.33203125" bestFit="1" customWidth="1"/>
    <col min="9" max="9" width="90.21875" bestFit="1" customWidth="1"/>
    <col min="10" max="10" width="48.44140625" bestFit="1" customWidth="1"/>
    <col min="11" max="11" width="16" customWidth="1"/>
    <col min="12" max="12" width="28" customWidth="1"/>
  </cols>
  <sheetData>
    <row r="1" spans="1:12" ht="34.049999999999997" customHeight="1">
      <c r="A1" s="44" t="s">
        <v>299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4.049999999999997" customHeight="1">
      <c r="A2" s="41" t="s">
        <v>300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ht="40.049999999999997" customHeight="1">
      <c r="A4" s="2" t="s">
        <v>301</v>
      </c>
      <c r="B4" s="2" t="s">
        <v>302</v>
      </c>
      <c r="C4" s="2" t="s">
        <v>303</v>
      </c>
      <c r="D4" s="2" t="s">
        <v>304</v>
      </c>
      <c r="E4" s="2" t="s">
        <v>305</v>
      </c>
      <c r="F4" s="2" t="s">
        <v>306</v>
      </c>
      <c r="G4" s="2" t="s">
        <v>307</v>
      </c>
      <c r="H4" s="2" t="s">
        <v>777</v>
      </c>
      <c r="I4" s="2" t="s">
        <v>309</v>
      </c>
      <c r="J4" s="2" t="s">
        <v>310</v>
      </c>
      <c r="K4" s="2" t="s">
        <v>311</v>
      </c>
      <c r="L4" s="2" t="s">
        <v>17</v>
      </c>
    </row>
    <row r="5" spans="1:12" ht="19.95" customHeight="1">
      <c r="A5" s="5" t="s">
        <v>312</v>
      </c>
      <c r="B5" s="5" t="s">
        <v>69</v>
      </c>
      <c r="C5" s="5" t="s">
        <v>62</v>
      </c>
      <c r="D5" s="5" t="s">
        <v>313</v>
      </c>
      <c r="E5" s="5" t="s">
        <v>24</v>
      </c>
      <c r="F5" s="5" t="s">
        <v>314</v>
      </c>
      <c r="G5" s="5" t="s">
        <v>315</v>
      </c>
      <c r="H5" s="5" t="s">
        <v>316</v>
      </c>
      <c r="I5" s="5" t="s">
        <v>317</v>
      </c>
      <c r="J5" s="5" t="s">
        <v>318</v>
      </c>
      <c r="K5" s="5"/>
      <c r="L5" s="5"/>
    </row>
    <row r="6" spans="1:12" ht="19.95" customHeight="1">
      <c r="A6" s="7" t="s">
        <v>319</v>
      </c>
      <c r="B6" s="7" t="s">
        <v>79</v>
      </c>
      <c r="C6" s="7" t="s">
        <v>62</v>
      </c>
      <c r="D6" s="7" t="s">
        <v>313</v>
      </c>
      <c r="E6" s="7" t="s">
        <v>24</v>
      </c>
      <c r="F6" s="7" t="s">
        <v>320</v>
      </c>
      <c r="G6" s="7" t="s">
        <v>321</v>
      </c>
      <c r="H6" s="7" t="s">
        <v>322</v>
      </c>
      <c r="I6" s="7" t="s">
        <v>323</v>
      </c>
      <c r="J6" s="7" t="s">
        <v>324</v>
      </c>
      <c r="K6" s="7"/>
      <c r="L6" s="7"/>
    </row>
    <row r="7" spans="1:12" ht="19.95" customHeight="1">
      <c r="A7" s="5" t="s">
        <v>325</v>
      </c>
      <c r="B7" s="5" t="s">
        <v>245</v>
      </c>
      <c r="C7" s="5" t="s">
        <v>93</v>
      </c>
      <c r="D7" s="5" t="s">
        <v>326</v>
      </c>
      <c r="E7" s="7" t="s">
        <v>24</v>
      </c>
      <c r="F7" s="5" t="s">
        <v>327</v>
      </c>
      <c r="G7" s="5" t="s">
        <v>328</v>
      </c>
      <c r="H7" s="5" t="s">
        <v>329</v>
      </c>
      <c r="I7" s="5" t="s">
        <v>322</v>
      </c>
      <c r="J7" s="5" t="s">
        <v>322</v>
      </c>
      <c r="K7" s="5"/>
      <c r="L7" s="5"/>
    </row>
    <row r="8" spans="1:12" ht="19.95" customHeight="1">
      <c r="A8" s="7" t="s">
        <v>330</v>
      </c>
      <c r="B8" s="7" t="s">
        <v>27</v>
      </c>
      <c r="C8" s="7" t="s">
        <v>21</v>
      </c>
      <c r="D8" s="7" t="s">
        <v>326</v>
      </c>
      <c r="E8" s="7" t="s">
        <v>24</v>
      </c>
      <c r="F8" s="7" t="s">
        <v>331</v>
      </c>
      <c r="G8" s="7" t="s">
        <v>332</v>
      </c>
      <c r="H8" s="7" t="s">
        <v>333</v>
      </c>
      <c r="I8" s="7" t="s">
        <v>334</v>
      </c>
      <c r="J8" s="7" t="s">
        <v>335</v>
      </c>
      <c r="K8" s="7"/>
      <c r="L8" s="7"/>
    </row>
    <row r="9" spans="1:12" ht="19.95" customHeight="1">
      <c r="A9" s="5" t="s">
        <v>336</v>
      </c>
      <c r="B9" s="5" t="s">
        <v>55</v>
      </c>
      <c r="C9" s="5" t="s">
        <v>50</v>
      </c>
      <c r="D9" s="5" t="s">
        <v>326</v>
      </c>
      <c r="E9" s="5" t="s">
        <v>24</v>
      </c>
      <c r="F9" s="5" t="s">
        <v>337</v>
      </c>
      <c r="G9" s="5" t="s">
        <v>338</v>
      </c>
      <c r="H9" s="5" t="s">
        <v>339</v>
      </c>
      <c r="I9" s="5" t="s">
        <v>340</v>
      </c>
      <c r="J9" s="5" t="s">
        <v>341</v>
      </c>
      <c r="K9" s="5"/>
      <c r="L9" s="5"/>
    </row>
    <row r="10" spans="1:12" ht="19.95" customHeight="1">
      <c r="A10" s="7" t="s">
        <v>342</v>
      </c>
      <c r="B10" s="7" t="s">
        <v>116</v>
      </c>
      <c r="C10" s="5" t="s">
        <v>82</v>
      </c>
      <c r="D10" s="7" t="s">
        <v>343</v>
      </c>
      <c r="E10" s="7" t="s">
        <v>24</v>
      </c>
      <c r="F10" s="7" t="s">
        <v>344</v>
      </c>
      <c r="G10" s="7" t="s">
        <v>345</v>
      </c>
      <c r="H10" s="7" t="s">
        <v>346</v>
      </c>
      <c r="I10" s="7" t="s">
        <v>347</v>
      </c>
      <c r="J10" s="7" t="s">
        <v>348</v>
      </c>
      <c r="K10" s="7"/>
      <c r="L10" s="7"/>
    </row>
    <row r="11" spans="1:12" ht="19.95" customHeight="1">
      <c r="A11" s="5" t="s">
        <v>349</v>
      </c>
      <c r="B11" s="5" t="s">
        <v>110</v>
      </c>
      <c r="C11" s="5" t="s">
        <v>72</v>
      </c>
      <c r="D11" s="5" t="s">
        <v>326</v>
      </c>
      <c r="E11" s="5" t="s">
        <v>24</v>
      </c>
      <c r="F11" s="5" t="s">
        <v>350</v>
      </c>
      <c r="G11" s="5" t="s">
        <v>351</v>
      </c>
      <c r="H11" s="5" t="s">
        <v>352</v>
      </c>
      <c r="I11" s="5" t="s">
        <v>353</v>
      </c>
      <c r="J11" s="5" t="s">
        <v>354</v>
      </c>
      <c r="K11" s="5"/>
      <c r="L11" s="5"/>
    </row>
    <row r="12" spans="1:12" ht="19.95" customHeight="1">
      <c r="A12" s="5" t="s">
        <v>355</v>
      </c>
      <c r="B12" s="5" t="s">
        <v>229</v>
      </c>
      <c r="C12" s="5" t="s">
        <v>48</v>
      </c>
      <c r="D12" s="5" t="s">
        <v>356</v>
      </c>
      <c r="E12" s="7" t="s">
        <v>24</v>
      </c>
      <c r="F12" s="5" t="s">
        <v>357</v>
      </c>
      <c r="G12" s="5" t="s">
        <v>345</v>
      </c>
      <c r="H12" s="5" t="s">
        <v>358</v>
      </c>
      <c r="I12" s="5" t="s">
        <v>359</v>
      </c>
      <c r="J12" s="5" t="s">
        <v>360</v>
      </c>
      <c r="K12" s="5"/>
      <c r="L12" s="5"/>
    </row>
    <row r="13" spans="1:12" ht="19.95" customHeight="1">
      <c r="A13" s="5" t="s">
        <v>361</v>
      </c>
      <c r="B13" s="7" t="s">
        <v>226</v>
      </c>
      <c r="C13" s="5" t="s">
        <v>48</v>
      </c>
      <c r="D13" s="7" t="s">
        <v>356</v>
      </c>
      <c r="E13" s="7" t="s">
        <v>24</v>
      </c>
      <c r="F13" s="7" t="s">
        <v>362</v>
      </c>
      <c r="G13" s="7" t="s">
        <v>363</v>
      </c>
      <c r="H13" s="7" t="s">
        <v>364</v>
      </c>
      <c r="I13" s="7" t="s">
        <v>365</v>
      </c>
      <c r="J13" s="7" t="s">
        <v>366</v>
      </c>
      <c r="K13" s="7"/>
      <c r="L13" s="7"/>
    </row>
    <row r="14" spans="1:12" ht="19.95" customHeight="1">
      <c r="A14" s="7" t="s">
        <v>367</v>
      </c>
      <c r="B14" s="5" t="s">
        <v>237</v>
      </c>
      <c r="C14" s="5" t="s">
        <v>30</v>
      </c>
      <c r="D14" s="5" t="s">
        <v>368</v>
      </c>
      <c r="E14" s="7" t="s">
        <v>24</v>
      </c>
      <c r="F14" s="5" t="s">
        <v>369</v>
      </c>
      <c r="G14" s="5" t="s">
        <v>370</v>
      </c>
      <c r="H14" s="5" t="s">
        <v>371</v>
      </c>
      <c r="I14" s="5" t="s">
        <v>372</v>
      </c>
      <c r="J14" s="5" t="s">
        <v>373</v>
      </c>
      <c r="K14" s="5"/>
      <c r="L14" s="5"/>
    </row>
    <row r="15" spans="1:12" ht="19.95" customHeight="1">
      <c r="A15" s="7" t="s">
        <v>374</v>
      </c>
      <c r="B15" s="7" t="s">
        <v>234</v>
      </c>
      <c r="C15" s="5" t="s">
        <v>18</v>
      </c>
      <c r="D15" s="7" t="s">
        <v>368</v>
      </c>
      <c r="E15" s="7" t="s">
        <v>24</v>
      </c>
      <c r="F15" s="7" t="s">
        <v>375</v>
      </c>
      <c r="G15" s="7" t="s">
        <v>376</v>
      </c>
      <c r="H15" s="7" t="s">
        <v>377</v>
      </c>
      <c r="I15" s="7" t="s">
        <v>378</v>
      </c>
      <c r="J15" s="7" t="s">
        <v>379</v>
      </c>
      <c r="K15" s="7"/>
      <c r="L15" s="7"/>
    </row>
    <row r="16" spans="1:12" ht="19.95" customHeight="1">
      <c r="A16" s="7" t="s">
        <v>380</v>
      </c>
      <c r="B16" s="5" t="s">
        <v>279</v>
      </c>
      <c r="C16" s="5" t="s">
        <v>112</v>
      </c>
      <c r="D16" s="5" t="s">
        <v>368</v>
      </c>
      <c r="E16" s="7" t="s">
        <v>24</v>
      </c>
      <c r="F16" s="5" t="s">
        <v>381</v>
      </c>
      <c r="G16" s="5" t="s">
        <v>382</v>
      </c>
      <c r="H16" s="5" t="s">
        <v>383</v>
      </c>
      <c r="I16" s="5" t="s">
        <v>384</v>
      </c>
      <c r="J16" s="5" t="s">
        <v>385</v>
      </c>
      <c r="K16" s="5"/>
      <c r="L16" s="5"/>
    </row>
    <row r="17" spans="1:12" ht="19.95" customHeight="1">
      <c r="A17" s="7" t="s">
        <v>386</v>
      </c>
      <c r="B17" s="7" t="s">
        <v>260</v>
      </c>
      <c r="C17" s="5" t="s">
        <v>125</v>
      </c>
      <c r="D17" s="7" t="s">
        <v>368</v>
      </c>
      <c r="E17" s="7" t="s">
        <v>24</v>
      </c>
      <c r="F17" s="7" t="s">
        <v>387</v>
      </c>
      <c r="G17" s="7" t="s">
        <v>388</v>
      </c>
      <c r="H17" s="7" t="s">
        <v>389</v>
      </c>
      <c r="I17" s="7" t="s">
        <v>390</v>
      </c>
      <c r="J17" s="7" t="s">
        <v>391</v>
      </c>
      <c r="K17" s="7"/>
      <c r="L17" s="7"/>
    </row>
    <row r="18" spans="1:12" ht="19.95" customHeight="1">
      <c r="A18" s="7" t="s">
        <v>392</v>
      </c>
      <c r="B18" s="5" t="s">
        <v>257</v>
      </c>
      <c r="C18" s="5" t="s">
        <v>125</v>
      </c>
      <c r="D18" s="5" t="s">
        <v>393</v>
      </c>
      <c r="E18" s="7" t="s">
        <v>24</v>
      </c>
      <c r="F18" s="5" t="s">
        <v>394</v>
      </c>
      <c r="G18" s="5" t="s">
        <v>382</v>
      </c>
      <c r="H18" s="5" t="s">
        <v>395</v>
      </c>
      <c r="I18" s="5" t="s">
        <v>396</v>
      </c>
      <c r="J18" s="5" t="s">
        <v>397</v>
      </c>
      <c r="K18" s="5"/>
      <c r="L18" s="5"/>
    </row>
    <row r="19" spans="1:12" ht="19.95" customHeight="1">
      <c r="A19" s="7" t="s">
        <v>398</v>
      </c>
      <c r="B19" s="7" t="s">
        <v>215</v>
      </c>
      <c r="C19" s="5" t="s">
        <v>103</v>
      </c>
      <c r="D19" s="7" t="s">
        <v>399</v>
      </c>
      <c r="E19" s="7" t="s">
        <v>24</v>
      </c>
      <c r="F19" s="7" t="s">
        <v>400</v>
      </c>
      <c r="G19" s="7" t="s">
        <v>401</v>
      </c>
      <c r="H19" s="7" t="s">
        <v>402</v>
      </c>
      <c r="I19" s="7" t="s">
        <v>403</v>
      </c>
      <c r="J19" s="7" t="s">
        <v>404</v>
      </c>
      <c r="K19" s="7"/>
      <c r="L19" s="7"/>
    </row>
    <row r="20" spans="1:12" ht="19.95" customHeight="1">
      <c r="A20" s="7" t="s">
        <v>405</v>
      </c>
      <c r="B20" s="7" t="s">
        <v>238</v>
      </c>
      <c r="C20" s="5" t="s">
        <v>72</v>
      </c>
      <c r="D20" s="7" t="s">
        <v>399</v>
      </c>
      <c r="E20" s="7" t="s">
        <v>24</v>
      </c>
      <c r="F20" s="7" t="s">
        <v>406</v>
      </c>
      <c r="G20" s="7" t="s">
        <v>407</v>
      </c>
      <c r="H20" s="7" t="s">
        <v>408</v>
      </c>
      <c r="I20" s="7" t="s">
        <v>409</v>
      </c>
      <c r="J20" s="7" t="s">
        <v>410</v>
      </c>
      <c r="K20" s="7"/>
      <c r="L20" s="7"/>
    </row>
    <row r="21" spans="1:12" ht="19.95" customHeight="1">
      <c r="A21" s="7" t="s">
        <v>411</v>
      </c>
      <c r="B21" s="5" t="s">
        <v>212</v>
      </c>
      <c r="C21" s="5" t="s">
        <v>103</v>
      </c>
      <c r="D21" s="5" t="s">
        <v>393</v>
      </c>
      <c r="E21" s="7" t="s">
        <v>24</v>
      </c>
      <c r="F21" s="5" t="s">
        <v>412</v>
      </c>
      <c r="G21" s="5" t="s">
        <v>413</v>
      </c>
      <c r="H21" s="5" t="s">
        <v>414</v>
      </c>
      <c r="I21" s="5" t="s">
        <v>415</v>
      </c>
      <c r="J21" s="5" t="s">
        <v>416</v>
      </c>
      <c r="K21" s="5"/>
      <c r="L21" s="5"/>
    </row>
    <row r="22" spans="1:12" ht="19.95" customHeight="1">
      <c r="A22" s="7" t="s">
        <v>417</v>
      </c>
      <c r="B22" s="7" t="s">
        <v>776</v>
      </c>
      <c r="C22" s="5" t="s">
        <v>132</v>
      </c>
      <c r="D22" s="7" t="s">
        <v>368</v>
      </c>
      <c r="E22" s="7" t="s">
        <v>24</v>
      </c>
      <c r="F22" s="7" t="s">
        <v>418</v>
      </c>
      <c r="G22" s="7" t="s">
        <v>419</v>
      </c>
      <c r="H22" s="7" t="s">
        <v>420</v>
      </c>
      <c r="I22" s="7" t="s">
        <v>421</v>
      </c>
      <c r="J22" s="7" t="s">
        <v>422</v>
      </c>
      <c r="K22" s="7"/>
      <c r="L22" s="7"/>
    </row>
    <row r="23" spans="1:12" ht="19.95" customHeight="1">
      <c r="A23" s="7" t="s">
        <v>423</v>
      </c>
      <c r="B23" s="5" t="s">
        <v>246</v>
      </c>
      <c r="C23" s="5" t="s">
        <v>132</v>
      </c>
      <c r="D23" s="5" t="s">
        <v>393</v>
      </c>
      <c r="E23" s="7" t="s">
        <v>24</v>
      </c>
      <c r="F23" s="5" t="s">
        <v>424</v>
      </c>
      <c r="G23" s="5" t="s">
        <v>425</v>
      </c>
      <c r="H23" s="5" t="s">
        <v>426</v>
      </c>
      <c r="I23" s="5" t="s">
        <v>427</v>
      </c>
      <c r="J23" s="5" t="s">
        <v>428</v>
      </c>
      <c r="K23" s="5"/>
      <c r="L23" s="5"/>
    </row>
    <row r="24" spans="1:12" ht="19.95" customHeight="1">
      <c r="A24" s="7" t="s">
        <v>429</v>
      </c>
      <c r="B24" s="7" t="s">
        <v>241</v>
      </c>
      <c r="C24" s="5" t="s">
        <v>41</v>
      </c>
      <c r="D24" s="7" t="s">
        <v>399</v>
      </c>
      <c r="E24" s="7" t="s">
        <v>24</v>
      </c>
      <c r="F24" s="7" t="s">
        <v>430</v>
      </c>
      <c r="G24" s="7" t="s">
        <v>431</v>
      </c>
      <c r="H24" s="7" t="s">
        <v>432</v>
      </c>
      <c r="I24" s="7" t="s">
        <v>433</v>
      </c>
      <c r="J24" s="7" t="s">
        <v>434</v>
      </c>
      <c r="K24" s="7"/>
      <c r="L24" s="7"/>
    </row>
    <row r="25" spans="1:12" ht="19.95" customHeight="1">
      <c r="A25" s="5" t="s">
        <v>435</v>
      </c>
      <c r="B25" s="5" t="s">
        <v>436</v>
      </c>
      <c r="C25" s="5" t="s">
        <v>93</v>
      </c>
      <c r="D25" s="5" t="s">
        <v>399</v>
      </c>
      <c r="E25" s="7" t="s">
        <v>24</v>
      </c>
      <c r="F25" s="5" t="s">
        <v>437</v>
      </c>
      <c r="G25" s="5" t="s">
        <v>438</v>
      </c>
      <c r="H25" s="5" t="s">
        <v>439</v>
      </c>
      <c r="I25" s="5" t="s">
        <v>440</v>
      </c>
      <c r="J25" s="5" t="s">
        <v>441</v>
      </c>
      <c r="K25" s="5"/>
      <c r="L25" s="5"/>
    </row>
    <row r="26" spans="1:12" ht="19.95" customHeight="1">
      <c r="A26" s="7" t="s">
        <v>442</v>
      </c>
      <c r="B26" s="7" t="s">
        <v>443</v>
      </c>
      <c r="C26" s="7" t="s">
        <v>93</v>
      </c>
      <c r="D26" s="7" t="s">
        <v>399</v>
      </c>
      <c r="E26" s="7" t="s">
        <v>24</v>
      </c>
      <c r="F26" s="7" t="s">
        <v>444</v>
      </c>
      <c r="G26" s="7" t="s">
        <v>445</v>
      </c>
      <c r="H26" s="7" t="s">
        <v>446</v>
      </c>
      <c r="I26" s="7" t="s">
        <v>447</v>
      </c>
      <c r="J26" s="7" t="s">
        <v>448</v>
      </c>
      <c r="K26" s="7"/>
      <c r="L26" s="7"/>
    </row>
    <row r="27" spans="1:12" ht="19.95" customHeight="1">
      <c r="A27" s="5" t="s">
        <v>449</v>
      </c>
      <c r="B27" s="5" t="s">
        <v>244</v>
      </c>
      <c r="C27" s="5" t="s">
        <v>118</v>
      </c>
      <c r="D27" s="5" t="s">
        <v>326</v>
      </c>
      <c r="E27" s="7" t="s">
        <v>24</v>
      </c>
      <c r="F27" s="5" t="s">
        <v>450</v>
      </c>
      <c r="G27" s="5" t="s">
        <v>451</v>
      </c>
      <c r="H27" s="5" t="s">
        <v>452</v>
      </c>
      <c r="I27" s="5" t="s">
        <v>453</v>
      </c>
      <c r="J27" s="5" t="s">
        <v>454</v>
      </c>
      <c r="K27" s="5"/>
      <c r="L27" s="5"/>
    </row>
    <row r="28" spans="1:12" ht="19.95" customHeight="1">
      <c r="A28" s="7" t="s">
        <v>455</v>
      </c>
      <c r="B28" s="7" t="s">
        <v>242</v>
      </c>
      <c r="C28" s="7" t="s">
        <v>50</v>
      </c>
      <c r="D28" s="7" t="s">
        <v>399</v>
      </c>
      <c r="E28" s="7" t="s">
        <v>24</v>
      </c>
      <c r="F28" s="7" t="s">
        <v>456</v>
      </c>
      <c r="G28" s="7" t="s">
        <v>457</v>
      </c>
      <c r="H28" s="7" t="s">
        <v>458</v>
      </c>
      <c r="I28" s="7" t="s">
        <v>459</v>
      </c>
      <c r="J28" s="7" t="s">
        <v>460</v>
      </c>
      <c r="K28" s="7"/>
      <c r="L28" s="7"/>
    </row>
    <row r="29" spans="1:12" ht="19.95" customHeight="1">
      <c r="A29" s="5" t="s">
        <v>461</v>
      </c>
      <c r="B29" s="5" t="s">
        <v>243</v>
      </c>
      <c r="C29" s="5" t="s">
        <v>34</v>
      </c>
      <c r="D29" s="5" t="s">
        <v>399</v>
      </c>
      <c r="E29" s="7" t="s">
        <v>24</v>
      </c>
      <c r="F29" s="5" t="s">
        <v>462</v>
      </c>
      <c r="G29" s="5" t="s">
        <v>463</v>
      </c>
      <c r="H29" s="5" t="s">
        <v>464</v>
      </c>
      <c r="I29" s="5" t="s">
        <v>465</v>
      </c>
      <c r="J29" s="5" t="s">
        <v>466</v>
      </c>
      <c r="K29" s="5"/>
      <c r="L29" s="5"/>
    </row>
    <row r="30" spans="1:12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ht="1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1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1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1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</sheetData>
  <autoFilter ref="A4:L80" xr:uid="{00000000-0009-0000-0000-000004000000}"/>
  <mergeCells count="2">
    <mergeCell ref="A2:L2"/>
    <mergeCell ref="A1:L1"/>
  </mergeCells>
  <phoneticPr fontId="16" type="noConversion"/>
  <dataValidations count="4">
    <dataValidation type="list" allowBlank="1" errorTitle="选项无效" error="请从下拉选项中选择。" promptTitle="填写提示" prompt="请选择标准值。" sqref="B5:B80" xr:uid="{00000000-0002-0000-0400-000000000000}">
      <formula1>Opt_岗位名称</formula1>
    </dataValidation>
    <dataValidation type="list" allowBlank="1" errorTitle="选项无效" error="请从下拉选项中选择。" promptTitle="填写提示" prompt="请选择标准值。" sqref="C5:C80" xr:uid="{00000000-0002-0000-0400-000001000000}">
      <formula1>Opt_组织单元</formula1>
    </dataValidation>
    <dataValidation type="list" allowBlank="1" errorTitle="填写值无效" error="请从下拉列表中选择标准值。" promptTitle="填写提示" prompt="请选择标准值。" sqref="D5:D80" xr:uid="{00000000-0002-0000-0400-000002000000}">
      <formula1>"公司负责人,部门负责人,班组长,专业岗位,操作岗位,辅助岗位,其他"</formula1>
    </dataValidation>
    <dataValidation type="list" allowBlank="1" errorTitle="填写值无效" error="请从下拉列表中选择标准值。" promptTitle="填写提示" prompt="请选择标准值。" sqref="E5:E80" xr:uid="{00000000-0002-0000-0400-000003000000}">
      <formula1>"现行,筹备,规划,停用,待确认"</formula1>
    </dataValidation>
  </dataValidations>
  <pageMargins left="0.25" right="0.25" top="0.45" bottom="0.45" header="0.5" footer="0.5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/>
      <selection pane="bottomLeft"/>
      <selection pane="bottomRight" activeCell="E15" sqref="E15"/>
    </sheetView>
  </sheetViews>
  <sheetFormatPr defaultColWidth="9" defaultRowHeight="14.4"/>
  <cols>
    <col min="1" max="1" width="12" style="9" customWidth="1"/>
    <col min="2" max="2" width="16" style="9" customWidth="1"/>
    <col min="3" max="3" width="22" style="9" customWidth="1"/>
    <col min="4" max="4" width="32" style="9" customWidth="1"/>
    <col min="5" max="5" width="24" style="9" customWidth="1"/>
    <col min="6" max="6" width="20" style="9" customWidth="1"/>
    <col min="7" max="19" width="13" style="9" customWidth="1"/>
    <col min="20" max="21" width="10" style="9" customWidth="1"/>
    <col min="22" max="23" width="14" style="9" customWidth="1"/>
    <col min="24" max="24" width="13" style="9" customWidth="1"/>
    <col min="25" max="25" width="28" style="10" customWidth="1"/>
    <col min="26" max="26" width="9" style="9" customWidth="1"/>
    <col min="27" max="16384" width="9" style="9"/>
  </cols>
  <sheetData>
    <row r="1" spans="1:25" ht="34.049999999999997" customHeight="1">
      <c r="A1" s="69" t="s">
        <v>467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68"/>
    </row>
    <row r="2" spans="1:25" ht="34.049999999999997" customHeight="1">
      <c r="A2" s="67" t="s">
        <v>468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68"/>
    </row>
    <row r="4" spans="1:25" ht="40.049999999999997" customHeight="1">
      <c r="A4" s="2" t="s">
        <v>469</v>
      </c>
      <c r="B4" s="2" t="s">
        <v>470</v>
      </c>
      <c r="C4" s="2" t="s">
        <v>471</v>
      </c>
      <c r="D4" s="2" t="s">
        <v>472</v>
      </c>
      <c r="E4" s="2" t="s">
        <v>308</v>
      </c>
      <c r="F4" s="2" t="s">
        <v>473</v>
      </c>
      <c r="G4" s="2" t="s">
        <v>69</v>
      </c>
      <c r="H4" s="2" t="s">
        <v>79</v>
      </c>
      <c r="I4" s="2" t="s">
        <v>83</v>
      </c>
      <c r="J4" s="2" t="s">
        <v>73</v>
      </c>
      <c r="K4" s="2" t="s">
        <v>89</v>
      </c>
      <c r="L4" s="2" t="s">
        <v>99</v>
      </c>
      <c r="M4" s="2" t="s">
        <v>94</v>
      </c>
      <c r="N4" s="2" t="s">
        <v>119</v>
      </c>
      <c r="O4" s="2" t="s">
        <v>113</v>
      </c>
      <c r="P4" s="2" t="s">
        <v>126</v>
      </c>
      <c r="Q4" s="2" t="s">
        <v>133</v>
      </c>
      <c r="R4" s="2" t="s">
        <v>104</v>
      </c>
      <c r="S4" s="2" t="s">
        <v>474</v>
      </c>
      <c r="T4" s="2" t="s">
        <v>475</v>
      </c>
      <c r="U4" s="2" t="s">
        <v>476</v>
      </c>
      <c r="V4" s="2" t="s">
        <v>477</v>
      </c>
      <c r="W4" s="2" t="s">
        <v>478</v>
      </c>
      <c r="X4" s="2" t="s">
        <v>479</v>
      </c>
      <c r="Y4" s="11" t="s">
        <v>17</v>
      </c>
    </row>
    <row r="5" spans="1:25" ht="15.6" customHeight="1">
      <c r="A5" s="12" t="s">
        <v>480</v>
      </c>
      <c r="B5" s="12" t="s">
        <v>481</v>
      </c>
      <c r="C5" s="12" t="s">
        <v>482</v>
      </c>
      <c r="D5" s="12" t="s">
        <v>483</v>
      </c>
      <c r="E5" s="12" t="s">
        <v>484</v>
      </c>
      <c r="F5" s="12" t="s">
        <v>485</v>
      </c>
      <c r="G5" s="12" t="s">
        <v>486</v>
      </c>
      <c r="H5" s="12" t="s">
        <v>487</v>
      </c>
      <c r="I5" s="12" t="s">
        <v>488</v>
      </c>
      <c r="J5" s="12" t="s">
        <v>488</v>
      </c>
      <c r="K5" s="12" t="s">
        <v>488</v>
      </c>
      <c r="L5" s="12" t="s">
        <v>488</v>
      </c>
      <c r="M5" s="12" t="s">
        <v>488</v>
      </c>
      <c r="N5" s="12" t="s">
        <v>488</v>
      </c>
      <c r="O5" s="12" t="s">
        <v>488</v>
      </c>
      <c r="P5" s="12" t="s">
        <v>488</v>
      </c>
      <c r="Q5" s="12" t="s">
        <v>488</v>
      </c>
      <c r="R5" s="12" t="s">
        <v>488</v>
      </c>
      <c r="S5" s="12" t="s">
        <v>488</v>
      </c>
      <c r="T5" s="13">
        <f t="shared" ref="T5:T27" si="0">COUNTIF(G5:S5,"A")</f>
        <v>1</v>
      </c>
      <c r="U5" s="13">
        <f t="shared" ref="U5:U27" si="1">COUNTIF(G5:S5,"R")</f>
        <v>1</v>
      </c>
      <c r="V5" s="13" t="str">
        <f t="shared" ref="V5:V36" si="2">IF(A5="","",IF(T5&lt;&gt;1,"A数量必须=1",IF(U5&lt;1,"至少需要1个R","OK")))</f>
        <v>OK</v>
      </c>
      <c r="W5" s="12" t="s">
        <v>52</v>
      </c>
      <c r="X5" s="14" t="s">
        <v>489</v>
      </c>
      <c r="Y5" s="15" t="s">
        <v>490</v>
      </c>
    </row>
    <row r="6" spans="1:25" ht="15.6" customHeight="1">
      <c r="A6" s="12" t="s">
        <v>491</v>
      </c>
      <c r="B6" s="16" t="s">
        <v>492</v>
      </c>
      <c r="C6" s="16" t="s">
        <v>493</v>
      </c>
      <c r="D6" s="16" t="s">
        <v>494</v>
      </c>
      <c r="E6" s="16" t="s">
        <v>495</v>
      </c>
      <c r="F6" s="16" t="s">
        <v>496</v>
      </c>
      <c r="G6" s="16" t="s">
        <v>488</v>
      </c>
      <c r="H6" s="16" t="s">
        <v>486</v>
      </c>
      <c r="I6" s="16" t="s">
        <v>487</v>
      </c>
      <c r="J6" s="16" t="s">
        <v>487</v>
      </c>
      <c r="K6" s="16" t="s">
        <v>487</v>
      </c>
      <c r="L6" s="16" t="s">
        <v>487</v>
      </c>
      <c r="M6" s="16" t="s">
        <v>487</v>
      </c>
      <c r="N6" s="16" t="s">
        <v>487</v>
      </c>
      <c r="O6" s="16" t="s">
        <v>487</v>
      </c>
      <c r="P6" s="16" t="s">
        <v>487</v>
      </c>
      <c r="Q6" s="16" t="s">
        <v>487</v>
      </c>
      <c r="R6" s="16" t="s">
        <v>487</v>
      </c>
      <c r="S6" s="16" t="s">
        <v>487</v>
      </c>
      <c r="T6" s="17">
        <f t="shared" si="0"/>
        <v>1</v>
      </c>
      <c r="U6" s="17">
        <f t="shared" si="1"/>
        <v>11</v>
      </c>
      <c r="V6" s="17" t="str">
        <f t="shared" si="2"/>
        <v>OK</v>
      </c>
      <c r="W6" s="16" t="s">
        <v>66</v>
      </c>
      <c r="X6" s="14" t="s">
        <v>489</v>
      </c>
      <c r="Y6" s="18" t="s">
        <v>497</v>
      </c>
    </row>
    <row r="7" spans="1:25" ht="30" customHeight="1">
      <c r="A7" s="12" t="s">
        <v>498</v>
      </c>
      <c r="B7" s="12" t="s">
        <v>499</v>
      </c>
      <c r="C7" s="12" t="s">
        <v>500</v>
      </c>
      <c r="D7" s="12" t="s">
        <v>501</v>
      </c>
      <c r="E7" s="12" t="s">
        <v>502</v>
      </c>
      <c r="F7" s="12" t="s">
        <v>503</v>
      </c>
      <c r="G7" s="12" t="s">
        <v>504</v>
      </c>
      <c r="H7" s="12" t="s">
        <v>488</v>
      </c>
      <c r="I7" s="12" t="s">
        <v>487</v>
      </c>
      <c r="J7" s="12" t="s">
        <v>487</v>
      </c>
      <c r="K7" s="12" t="s">
        <v>486</v>
      </c>
      <c r="L7" s="12" t="s">
        <v>504</v>
      </c>
      <c r="M7" s="12" t="s">
        <v>488</v>
      </c>
      <c r="N7" s="12" t="s">
        <v>487</v>
      </c>
      <c r="O7" s="12" t="s">
        <v>505</v>
      </c>
      <c r="P7" s="12" t="s">
        <v>505</v>
      </c>
      <c r="Q7" s="12" t="s">
        <v>505</v>
      </c>
      <c r="R7" s="12" t="s">
        <v>505</v>
      </c>
      <c r="S7" s="12" t="s">
        <v>487</v>
      </c>
      <c r="T7" s="13">
        <f t="shared" si="0"/>
        <v>1</v>
      </c>
      <c r="U7" s="13">
        <f t="shared" si="1"/>
        <v>4</v>
      </c>
      <c r="V7" s="13" t="str">
        <f t="shared" si="2"/>
        <v>OK</v>
      </c>
      <c r="W7" s="12" t="s">
        <v>44</v>
      </c>
      <c r="X7" s="14" t="s">
        <v>489</v>
      </c>
      <c r="Y7" s="15" t="s">
        <v>506</v>
      </c>
    </row>
    <row r="8" spans="1:25" ht="30" customHeight="1">
      <c r="A8" s="12" t="s">
        <v>507</v>
      </c>
      <c r="B8" s="16" t="s">
        <v>508</v>
      </c>
      <c r="C8" s="16" t="s">
        <v>509</v>
      </c>
      <c r="D8" s="16" t="s">
        <v>510</v>
      </c>
      <c r="E8" s="16" t="s">
        <v>511</v>
      </c>
      <c r="F8" s="16" t="s">
        <v>512</v>
      </c>
      <c r="G8" s="16" t="s">
        <v>504</v>
      </c>
      <c r="H8" s="16" t="s">
        <v>504</v>
      </c>
      <c r="I8" s="16" t="s">
        <v>486</v>
      </c>
      <c r="J8" s="16" t="s">
        <v>504</v>
      </c>
      <c r="K8" s="16" t="s">
        <v>504</v>
      </c>
      <c r="L8" s="16" t="s">
        <v>504</v>
      </c>
      <c r="M8" s="16" t="s">
        <v>504</v>
      </c>
      <c r="N8" s="16" t="s">
        <v>505</v>
      </c>
      <c r="O8" s="16" t="s">
        <v>487</v>
      </c>
      <c r="P8" s="16" t="s">
        <v>487</v>
      </c>
      <c r="Q8" s="16" t="s">
        <v>487</v>
      </c>
      <c r="R8" s="16" t="s">
        <v>487</v>
      </c>
      <c r="S8" s="16" t="s">
        <v>505</v>
      </c>
      <c r="T8" s="17">
        <f t="shared" si="0"/>
        <v>1</v>
      </c>
      <c r="U8" s="17">
        <f t="shared" si="1"/>
        <v>4</v>
      </c>
      <c r="V8" s="17" t="str">
        <f t="shared" si="2"/>
        <v>OK</v>
      </c>
      <c r="W8" s="16" t="s">
        <v>85</v>
      </c>
      <c r="X8" s="14" t="s">
        <v>489</v>
      </c>
      <c r="Y8" s="18" t="s">
        <v>513</v>
      </c>
    </row>
    <row r="9" spans="1:25" ht="15.6" customHeight="1">
      <c r="A9" s="12" t="s">
        <v>514</v>
      </c>
      <c r="B9" s="12" t="s">
        <v>515</v>
      </c>
      <c r="C9" s="12" t="s">
        <v>516</v>
      </c>
      <c r="D9" s="12" t="s">
        <v>517</v>
      </c>
      <c r="E9" s="12" t="s">
        <v>518</v>
      </c>
      <c r="F9" s="12" t="s">
        <v>519</v>
      </c>
      <c r="G9" s="12" t="s">
        <v>504</v>
      </c>
      <c r="H9" s="12" t="s">
        <v>504</v>
      </c>
      <c r="I9" s="12" t="s">
        <v>504</v>
      </c>
      <c r="J9" s="12" t="s">
        <v>486</v>
      </c>
      <c r="K9" s="12" t="s">
        <v>504</v>
      </c>
      <c r="L9" s="12" t="s">
        <v>504</v>
      </c>
      <c r="M9" s="12" t="s">
        <v>504</v>
      </c>
      <c r="N9" s="12" t="s">
        <v>505</v>
      </c>
      <c r="O9" s="12" t="s">
        <v>487</v>
      </c>
      <c r="P9" s="12" t="s">
        <v>487</v>
      </c>
      <c r="Q9" s="12" t="s">
        <v>487</v>
      </c>
      <c r="R9" s="12" t="s">
        <v>487</v>
      </c>
      <c r="S9" s="12" t="s">
        <v>488</v>
      </c>
      <c r="T9" s="13">
        <f t="shared" si="0"/>
        <v>1</v>
      </c>
      <c r="U9" s="13">
        <f t="shared" si="1"/>
        <v>4</v>
      </c>
      <c r="V9" s="13" t="str">
        <f t="shared" si="2"/>
        <v>OK</v>
      </c>
      <c r="W9" s="12" t="s">
        <v>76</v>
      </c>
      <c r="X9" s="14" t="s">
        <v>489</v>
      </c>
      <c r="Y9" s="15" t="s">
        <v>520</v>
      </c>
    </row>
    <row r="10" spans="1:25" ht="21" customHeight="1">
      <c r="A10" s="12" t="s">
        <v>521</v>
      </c>
      <c r="B10" s="12" t="s">
        <v>515</v>
      </c>
      <c r="C10" s="12" t="s">
        <v>522</v>
      </c>
      <c r="D10" s="12" t="s">
        <v>523</v>
      </c>
      <c r="E10" s="12" t="s">
        <v>524</v>
      </c>
      <c r="F10" s="12" t="s">
        <v>525</v>
      </c>
      <c r="G10" s="16" t="s">
        <v>504</v>
      </c>
      <c r="H10" s="16" t="s">
        <v>504</v>
      </c>
      <c r="I10" s="12" t="s">
        <v>488</v>
      </c>
      <c r="J10" s="12" t="s">
        <v>486</v>
      </c>
      <c r="K10" s="12" t="s">
        <v>505</v>
      </c>
      <c r="L10" s="12" t="s">
        <v>504</v>
      </c>
      <c r="M10" s="12" t="s">
        <v>504</v>
      </c>
      <c r="N10" s="12" t="s">
        <v>504</v>
      </c>
      <c r="O10" s="12" t="s">
        <v>504</v>
      </c>
      <c r="P10" s="12" t="s">
        <v>504</v>
      </c>
      <c r="Q10" s="12" t="s">
        <v>504</v>
      </c>
      <c r="R10" s="12" t="s">
        <v>487</v>
      </c>
      <c r="S10" s="12" t="s">
        <v>505</v>
      </c>
      <c r="T10" s="13">
        <f t="shared" si="0"/>
        <v>1</v>
      </c>
      <c r="U10" s="13">
        <f t="shared" si="1"/>
        <v>1</v>
      </c>
      <c r="V10" s="13" t="str">
        <f t="shared" si="2"/>
        <v>OK</v>
      </c>
      <c r="W10" s="12" t="s">
        <v>76</v>
      </c>
      <c r="X10" s="14" t="s">
        <v>489</v>
      </c>
      <c r="Y10" s="15" t="s">
        <v>526</v>
      </c>
    </row>
    <row r="11" spans="1:25" ht="21" customHeight="1">
      <c r="A11" s="12" t="s">
        <v>527</v>
      </c>
      <c r="B11" s="16" t="s">
        <v>515</v>
      </c>
      <c r="C11" s="16" t="s">
        <v>528</v>
      </c>
      <c r="D11" s="16" t="s">
        <v>529</v>
      </c>
      <c r="E11" s="16" t="s">
        <v>530</v>
      </c>
      <c r="F11" s="16" t="s">
        <v>531</v>
      </c>
      <c r="G11" s="16" t="s">
        <v>504</v>
      </c>
      <c r="H11" s="16" t="s">
        <v>488</v>
      </c>
      <c r="I11" s="16" t="s">
        <v>505</v>
      </c>
      <c r="J11" s="16" t="s">
        <v>486</v>
      </c>
      <c r="K11" s="16" t="s">
        <v>487</v>
      </c>
      <c r="L11" s="16" t="s">
        <v>504</v>
      </c>
      <c r="M11" s="16" t="s">
        <v>504</v>
      </c>
      <c r="N11" s="16" t="s">
        <v>505</v>
      </c>
      <c r="O11" s="16" t="s">
        <v>505</v>
      </c>
      <c r="P11" s="16" t="s">
        <v>505</v>
      </c>
      <c r="Q11" s="16" t="s">
        <v>505</v>
      </c>
      <c r="R11" s="16" t="s">
        <v>487</v>
      </c>
      <c r="S11" s="16" t="s">
        <v>505</v>
      </c>
      <c r="T11" s="17">
        <f t="shared" si="0"/>
        <v>1</v>
      </c>
      <c r="U11" s="17">
        <f t="shared" si="1"/>
        <v>2</v>
      </c>
      <c r="V11" s="17" t="str">
        <f t="shared" si="2"/>
        <v>OK</v>
      </c>
      <c r="W11" s="12" t="s">
        <v>76</v>
      </c>
      <c r="X11" s="14" t="s">
        <v>489</v>
      </c>
      <c r="Y11" s="18" t="s">
        <v>532</v>
      </c>
    </row>
    <row r="12" spans="1:25" ht="15.6" customHeight="1">
      <c r="A12" s="12" t="s">
        <v>533</v>
      </c>
      <c r="B12" s="16" t="s">
        <v>534</v>
      </c>
      <c r="C12" s="16" t="s">
        <v>535</v>
      </c>
      <c r="D12" s="16" t="s">
        <v>536</v>
      </c>
      <c r="E12" s="16" t="s">
        <v>537</v>
      </c>
      <c r="F12" s="16" t="s">
        <v>538</v>
      </c>
      <c r="G12" s="16" t="s">
        <v>486</v>
      </c>
      <c r="H12" s="16" t="s">
        <v>505</v>
      </c>
      <c r="I12" s="16" t="s">
        <v>505</v>
      </c>
      <c r="J12" s="16" t="s">
        <v>505</v>
      </c>
      <c r="K12" s="16" t="s">
        <v>505</v>
      </c>
      <c r="L12" s="16" t="s">
        <v>488</v>
      </c>
      <c r="M12" s="16" t="s">
        <v>487</v>
      </c>
      <c r="N12" s="16" t="s">
        <v>505</v>
      </c>
      <c r="O12" s="16" t="s">
        <v>504</v>
      </c>
      <c r="P12" s="16" t="s">
        <v>504</v>
      </c>
      <c r="Q12" s="16" t="s">
        <v>504</v>
      </c>
      <c r="R12" s="16" t="s">
        <v>504</v>
      </c>
      <c r="S12" s="16" t="s">
        <v>505</v>
      </c>
      <c r="T12" s="17">
        <f t="shared" si="0"/>
        <v>1</v>
      </c>
      <c r="U12" s="17">
        <f t="shared" si="1"/>
        <v>1</v>
      </c>
      <c r="V12" s="17" t="str">
        <f t="shared" si="2"/>
        <v>OK</v>
      </c>
      <c r="W12" s="16" t="s">
        <v>52</v>
      </c>
      <c r="X12" s="14" t="s">
        <v>489</v>
      </c>
      <c r="Y12" s="18" t="s">
        <v>539</v>
      </c>
    </row>
    <row r="13" spans="1:25" ht="15.6" customHeight="1">
      <c r="A13" s="12" t="s">
        <v>540</v>
      </c>
      <c r="B13" s="16" t="s">
        <v>534</v>
      </c>
      <c r="C13" s="16" t="s">
        <v>541</v>
      </c>
      <c r="D13" s="16" t="s">
        <v>542</v>
      </c>
      <c r="E13" s="16" t="s">
        <v>543</v>
      </c>
      <c r="F13" s="16" t="s">
        <v>544</v>
      </c>
      <c r="G13" s="16" t="s">
        <v>486</v>
      </c>
      <c r="H13" s="16" t="s">
        <v>488</v>
      </c>
      <c r="I13" s="16" t="s">
        <v>504</v>
      </c>
      <c r="J13" s="16" t="s">
        <v>504</v>
      </c>
      <c r="K13" s="16" t="s">
        <v>504</v>
      </c>
      <c r="L13" s="16" t="s">
        <v>504</v>
      </c>
      <c r="M13" s="16" t="s">
        <v>487</v>
      </c>
      <c r="N13" s="16" t="s">
        <v>504</v>
      </c>
      <c r="O13" s="16" t="s">
        <v>504</v>
      </c>
      <c r="P13" s="16" t="s">
        <v>504</v>
      </c>
      <c r="Q13" s="16" t="s">
        <v>504</v>
      </c>
      <c r="R13" s="16" t="s">
        <v>504</v>
      </c>
      <c r="S13" s="16" t="s">
        <v>504</v>
      </c>
      <c r="T13" s="17">
        <f t="shared" si="0"/>
        <v>1</v>
      </c>
      <c r="U13" s="17">
        <f t="shared" si="1"/>
        <v>1</v>
      </c>
      <c r="V13" s="17" t="str">
        <f t="shared" si="2"/>
        <v>OK</v>
      </c>
      <c r="W13" s="16" t="s">
        <v>52</v>
      </c>
      <c r="X13" s="14" t="s">
        <v>489</v>
      </c>
      <c r="Y13" s="18" t="s">
        <v>545</v>
      </c>
    </row>
    <row r="14" spans="1:25" ht="22.05" customHeight="1">
      <c r="A14" s="12" t="s">
        <v>546</v>
      </c>
      <c r="B14" s="16" t="s">
        <v>547</v>
      </c>
      <c r="C14" s="12" t="s">
        <v>548</v>
      </c>
      <c r="D14" s="12" t="s">
        <v>549</v>
      </c>
      <c r="E14" s="12" t="s">
        <v>550</v>
      </c>
      <c r="F14" s="12" t="s">
        <v>551</v>
      </c>
      <c r="G14" s="12" t="s">
        <v>504</v>
      </c>
      <c r="H14" s="12" t="s">
        <v>488</v>
      </c>
      <c r="I14" s="12" t="s">
        <v>505</v>
      </c>
      <c r="J14" s="12" t="s">
        <v>505</v>
      </c>
      <c r="K14" s="12" t="s">
        <v>486</v>
      </c>
      <c r="L14" s="12" t="s">
        <v>504</v>
      </c>
      <c r="M14" s="12" t="s">
        <v>505</v>
      </c>
      <c r="N14" s="12" t="s">
        <v>504</v>
      </c>
      <c r="O14" s="12" t="s">
        <v>504</v>
      </c>
      <c r="P14" s="12" t="s">
        <v>504</v>
      </c>
      <c r="Q14" s="12" t="s">
        <v>504</v>
      </c>
      <c r="R14" s="12" t="s">
        <v>504</v>
      </c>
      <c r="S14" s="12" t="s">
        <v>487</v>
      </c>
      <c r="T14" s="13">
        <f t="shared" si="0"/>
        <v>1</v>
      </c>
      <c r="U14" s="13">
        <f t="shared" si="1"/>
        <v>1</v>
      </c>
      <c r="V14" s="13" t="str">
        <f t="shared" si="2"/>
        <v>OK</v>
      </c>
      <c r="W14" s="12" t="s">
        <v>66</v>
      </c>
      <c r="X14" s="14" t="s">
        <v>489</v>
      </c>
      <c r="Y14" s="15" t="s">
        <v>552</v>
      </c>
    </row>
    <row r="15" spans="1:25" ht="21" customHeight="1">
      <c r="A15" s="12" t="s">
        <v>553</v>
      </c>
      <c r="B15" s="16" t="s">
        <v>554</v>
      </c>
      <c r="C15" s="16" t="s">
        <v>555</v>
      </c>
      <c r="D15" s="16" t="s">
        <v>556</v>
      </c>
      <c r="E15" s="16" t="s">
        <v>557</v>
      </c>
      <c r="F15" s="16" t="s">
        <v>558</v>
      </c>
      <c r="G15" s="16" t="s">
        <v>504</v>
      </c>
      <c r="H15" s="16" t="s">
        <v>488</v>
      </c>
      <c r="I15" s="16" t="s">
        <v>505</v>
      </c>
      <c r="J15" s="16" t="s">
        <v>488</v>
      </c>
      <c r="K15" s="16" t="s">
        <v>486</v>
      </c>
      <c r="L15" s="16" t="s">
        <v>504</v>
      </c>
      <c r="M15" s="16" t="s">
        <v>488</v>
      </c>
      <c r="N15" s="16" t="s">
        <v>504</v>
      </c>
      <c r="O15" s="16" t="s">
        <v>504</v>
      </c>
      <c r="P15" s="16" t="s">
        <v>504</v>
      </c>
      <c r="Q15" s="16" t="s">
        <v>504</v>
      </c>
      <c r="R15" s="16" t="s">
        <v>504</v>
      </c>
      <c r="S15" s="16" t="s">
        <v>487</v>
      </c>
      <c r="T15" s="17">
        <f t="shared" si="0"/>
        <v>1</v>
      </c>
      <c r="U15" s="17">
        <f t="shared" si="1"/>
        <v>1</v>
      </c>
      <c r="V15" s="17" t="str">
        <f t="shared" si="2"/>
        <v>OK</v>
      </c>
      <c r="W15" s="16" t="s">
        <v>23</v>
      </c>
      <c r="X15" s="14" t="s">
        <v>489</v>
      </c>
      <c r="Y15" s="18" t="s">
        <v>559</v>
      </c>
    </row>
    <row r="16" spans="1:25" ht="21" customHeight="1">
      <c r="A16" s="12" t="s">
        <v>560</v>
      </c>
      <c r="B16" s="12" t="s">
        <v>561</v>
      </c>
      <c r="C16" s="12" t="s">
        <v>562</v>
      </c>
      <c r="D16" s="12" t="s">
        <v>563</v>
      </c>
      <c r="E16" s="12" t="s">
        <v>564</v>
      </c>
      <c r="F16" s="12" t="s">
        <v>565</v>
      </c>
      <c r="G16" s="16" t="s">
        <v>504</v>
      </c>
      <c r="H16" s="16" t="s">
        <v>504</v>
      </c>
      <c r="I16" s="12" t="s">
        <v>488</v>
      </c>
      <c r="J16" s="12" t="s">
        <v>488</v>
      </c>
      <c r="K16" s="12" t="s">
        <v>504</v>
      </c>
      <c r="L16" s="12" t="s">
        <v>504</v>
      </c>
      <c r="M16" s="12" t="s">
        <v>504</v>
      </c>
      <c r="N16" s="12" t="s">
        <v>486</v>
      </c>
      <c r="O16" s="12" t="s">
        <v>504</v>
      </c>
      <c r="P16" s="12" t="s">
        <v>487</v>
      </c>
      <c r="Q16" s="12" t="s">
        <v>504</v>
      </c>
      <c r="R16" s="12" t="s">
        <v>504</v>
      </c>
      <c r="S16" s="12" t="s">
        <v>504</v>
      </c>
      <c r="T16" s="13">
        <f t="shared" si="0"/>
        <v>1</v>
      </c>
      <c r="U16" s="13">
        <f t="shared" si="1"/>
        <v>1</v>
      </c>
      <c r="V16" s="13" t="str">
        <f t="shared" si="2"/>
        <v>OK</v>
      </c>
      <c r="W16" s="12" t="s">
        <v>266</v>
      </c>
      <c r="X16" s="14" t="s">
        <v>489</v>
      </c>
      <c r="Y16" s="15" t="s">
        <v>566</v>
      </c>
    </row>
    <row r="17" spans="1:25" ht="21" customHeight="1">
      <c r="A17" s="12" t="s">
        <v>567</v>
      </c>
      <c r="B17" s="16" t="s">
        <v>561</v>
      </c>
      <c r="C17" s="16" t="s">
        <v>568</v>
      </c>
      <c r="D17" s="16" t="s">
        <v>569</v>
      </c>
      <c r="E17" s="16" t="s">
        <v>570</v>
      </c>
      <c r="F17" s="16" t="s">
        <v>571</v>
      </c>
      <c r="G17" s="16" t="s">
        <v>504</v>
      </c>
      <c r="H17" s="16" t="s">
        <v>505</v>
      </c>
      <c r="I17" s="16" t="s">
        <v>487</v>
      </c>
      <c r="J17" s="16" t="s">
        <v>505</v>
      </c>
      <c r="K17" s="16" t="s">
        <v>505</v>
      </c>
      <c r="L17" s="16" t="s">
        <v>504</v>
      </c>
      <c r="M17" s="16" t="s">
        <v>504</v>
      </c>
      <c r="N17" s="16" t="s">
        <v>486</v>
      </c>
      <c r="O17" s="16" t="s">
        <v>487</v>
      </c>
      <c r="P17" s="16" t="s">
        <v>487</v>
      </c>
      <c r="Q17" s="16" t="s">
        <v>487</v>
      </c>
      <c r="R17" s="16" t="s">
        <v>504</v>
      </c>
      <c r="S17" s="16" t="s">
        <v>504</v>
      </c>
      <c r="T17" s="17">
        <f t="shared" si="0"/>
        <v>1</v>
      </c>
      <c r="U17" s="17">
        <f t="shared" si="1"/>
        <v>4</v>
      </c>
      <c r="V17" s="17" t="str">
        <f t="shared" si="2"/>
        <v>OK</v>
      </c>
      <c r="W17" s="16" t="s">
        <v>121</v>
      </c>
      <c r="X17" s="14" t="s">
        <v>489</v>
      </c>
      <c r="Y17" s="18" t="s">
        <v>572</v>
      </c>
    </row>
    <row r="18" spans="1:25" ht="21" customHeight="1">
      <c r="A18" s="12" t="s">
        <v>573</v>
      </c>
      <c r="B18" s="12" t="s">
        <v>574</v>
      </c>
      <c r="C18" s="12" t="s">
        <v>575</v>
      </c>
      <c r="D18" s="12" t="s">
        <v>576</v>
      </c>
      <c r="E18" s="12" t="s">
        <v>577</v>
      </c>
      <c r="F18" s="12" t="s">
        <v>578</v>
      </c>
      <c r="G18" s="12" t="s">
        <v>504</v>
      </c>
      <c r="H18" s="12" t="s">
        <v>488</v>
      </c>
      <c r="I18" s="12" t="s">
        <v>486</v>
      </c>
      <c r="J18" s="12" t="s">
        <v>505</v>
      </c>
      <c r="K18" s="12" t="s">
        <v>504</v>
      </c>
      <c r="L18" s="12" t="s">
        <v>505</v>
      </c>
      <c r="M18" s="12" t="s">
        <v>504</v>
      </c>
      <c r="N18" s="12" t="s">
        <v>504</v>
      </c>
      <c r="O18" s="12" t="s">
        <v>487</v>
      </c>
      <c r="P18" s="12" t="s">
        <v>487</v>
      </c>
      <c r="Q18" s="12" t="s">
        <v>487</v>
      </c>
      <c r="R18" s="12" t="s">
        <v>488</v>
      </c>
      <c r="S18" s="12" t="s">
        <v>504</v>
      </c>
      <c r="T18" s="13">
        <f t="shared" si="0"/>
        <v>1</v>
      </c>
      <c r="U18" s="13">
        <f t="shared" si="1"/>
        <v>3</v>
      </c>
      <c r="V18" s="13" t="str">
        <f t="shared" si="2"/>
        <v>OK</v>
      </c>
      <c r="W18" s="12" t="s">
        <v>85</v>
      </c>
      <c r="X18" s="14" t="s">
        <v>489</v>
      </c>
      <c r="Y18" s="15" t="s">
        <v>579</v>
      </c>
    </row>
    <row r="19" spans="1:25" ht="21" customHeight="1">
      <c r="A19" s="12" t="s">
        <v>580</v>
      </c>
      <c r="B19" s="12" t="s">
        <v>574</v>
      </c>
      <c r="C19" s="12" t="s">
        <v>581</v>
      </c>
      <c r="D19" s="12" t="s">
        <v>582</v>
      </c>
      <c r="E19" s="12" t="s">
        <v>583</v>
      </c>
      <c r="F19" s="12" t="s">
        <v>584</v>
      </c>
      <c r="G19" s="12" t="s">
        <v>504</v>
      </c>
      <c r="H19" s="12" t="s">
        <v>504</v>
      </c>
      <c r="I19" s="12" t="s">
        <v>486</v>
      </c>
      <c r="J19" s="12" t="s">
        <v>488</v>
      </c>
      <c r="K19" s="12" t="s">
        <v>504</v>
      </c>
      <c r="L19" s="12" t="s">
        <v>504</v>
      </c>
      <c r="M19" s="12" t="s">
        <v>504</v>
      </c>
      <c r="N19" s="12" t="s">
        <v>504</v>
      </c>
      <c r="O19" s="12" t="s">
        <v>504</v>
      </c>
      <c r="P19" s="12" t="s">
        <v>504</v>
      </c>
      <c r="Q19" s="12" t="s">
        <v>487</v>
      </c>
      <c r="R19" s="12" t="s">
        <v>488</v>
      </c>
      <c r="S19" s="12" t="s">
        <v>504</v>
      </c>
      <c r="T19" s="13">
        <f t="shared" si="0"/>
        <v>1</v>
      </c>
      <c r="U19" s="13">
        <f t="shared" si="1"/>
        <v>1</v>
      </c>
      <c r="V19" s="13" t="str">
        <f t="shared" si="2"/>
        <v>OK</v>
      </c>
      <c r="W19" s="12" t="s">
        <v>135</v>
      </c>
      <c r="X19" s="14" t="s">
        <v>489</v>
      </c>
      <c r="Y19" s="15" t="s">
        <v>585</v>
      </c>
    </row>
    <row r="20" spans="1:25" ht="21" customHeight="1">
      <c r="A20" s="12" t="s">
        <v>586</v>
      </c>
      <c r="B20" s="16" t="s">
        <v>587</v>
      </c>
      <c r="C20" s="16" t="s">
        <v>588</v>
      </c>
      <c r="D20" s="16" t="s">
        <v>589</v>
      </c>
      <c r="E20" s="16" t="s">
        <v>590</v>
      </c>
      <c r="F20" s="16" t="s">
        <v>591</v>
      </c>
      <c r="G20" s="16" t="s">
        <v>504</v>
      </c>
      <c r="H20" s="16" t="s">
        <v>486</v>
      </c>
      <c r="I20" s="16" t="s">
        <v>505</v>
      </c>
      <c r="J20" s="16" t="s">
        <v>505</v>
      </c>
      <c r="K20" s="16" t="s">
        <v>504</v>
      </c>
      <c r="L20" s="16" t="s">
        <v>487</v>
      </c>
      <c r="M20" s="16" t="s">
        <v>488</v>
      </c>
      <c r="N20" s="16" t="s">
        <v>504</v>
      </c>
      <c r="O20" s="16" t="s">
        <v>504</v>
      </c>
      <c r="P20" s="16" t="s">
        <v>504</v>
      </c>
      <c r="Q20" s="16" t="s">
        <v>504</v>
      </c>
      <c r="R20" s="16" t="s">
        <v>504</v>
      </c>
      <c r="S20" s="12" t="s">
        <v>504</v>
      </c>
      <c r="T20" s="17">
        <f t="shared" si="0"/>
        <v>1</v>
      </c>
      <c r="U20" s="17">
        <f t="shared" si="1"/>
        <v>1</v>
      </c>
      <c r="V20" s="17" t="str">
        <f t="shared" si="2"/>
        <v>OK</v>
      </c>
      <c r="W20" s="16" t="s">
        <v>66</v>
      </c>
      <c r="X20" s="14" t="s">
        <v>489</v>
      </c>
      <c r="Y20" s="18" t="s">
        <v>592</v>
      </c>
    </row>
    <row r="21" spans="1:25" ht="21" customHeight="1">
      <c r="A21" s="12" t="s">
        <v>593</v>
      </c>
      <c r="B21" s="12" t="s">
        <v>587</v>
      </c>
      <c r="C21" s="12" t="s">
        <v>594</v>
      </c>
      <c r="D21" s="12" t="s">
        <v>595</v>
      </c>
      <c r="E21" s="12" t="s">
        <v>596</v>
      </c>
      <c r="F21" s="12" t="s">
        <v>597</v>
      </c>
      <c r="G21" s="16" t="s">
        <v>504</v>
      </c>
      <c r="H21" s="16" t="s">
        <v>486</v>
      </c>
      <c r="I21" s="16" t="s">
        <v>505</v>
      </c>
      <c r="J21" s="16" t="s">
        <v>505</v>
      </c>
      <c r="K21" s="16" t="s">
        <v>504</v>
      </c>
      <c r="L21" s="16" t="s">
        <v>487</v>
      </c>
      <c r="M21" s="16" t="s">
        <v>488</v>
      </c>
      <c r="N21" s="16" t="s">
        <v>504</v>
      </c>
      <c r="O21" s="16" t="s">
        <v>504</v>
      </c>
      <c r="P21" s="16" t="s">
        <v>504</v>
      </c>
      <c r="Q21" s="16" t="s">
        <v>504</v>
      </c>
      <c r="R21" s="16" t="s">
        <v>504</v>
      </c>
      <c r="S21" s="12" t="s">
        <v>504</v>
      </c>
      <c r="T21" s="13">
        <f t="shared" si="0"/>
        <v>1</v>
      </c>
      <c r="U21" s="13">
        <f t="shared" si="1"/>
        <v>1</v>
      </c>
      <c r="V21" s="13" t="str">
        <f t="shared" si="2"/>
        <v>OK</v>
      </c>
      <c r="W21" s="16" t="s">
        <v>66</v>
      </c>
      <c r="X21" s="14" t="s">
        <v>489</v>
      </c>
      <c r="Y21" s="18" t="s">
        <v>592</v>
      </c>
    </row>
    <row r="22" spans="1:25" ht="21" customHeight="1">
      <c r="A22" s="12" t="s">
        <v>598</v>
      </c>
      <c r="B22" s="16" t="s">
        <v>599</v>
      </c>
      <c r="C22" s="16" t="s">
        <v>600</v>
      </c>
      <c r="D22" s="16" t="s">
        <v>601</v>
      </c>
      <c r="E22" s="16" t="s">
        <v>602</v>
      </c>
      <c r="F22" s="16" t="s">
        <v>603</v>
      </c>
      <c r="G22" s="16" t="s">
        <v>486</v>
      </c>
      <c r="H22" s="16" t="s">
        <v>488</v>
      </c>
      <c r="I22" s="16" t="s">
        <v>504</v>
      </c>
      <c r="J22" s="16" t="s">
        <v>504</v>
      </c>
      <c r="K22" s="16"/>
      <c r="L22" s="16" t="s">
        <v>487</v>
      </c>
      <c r="M22" s="16" t="s">
        <v>488</v>
      </c>
      <c r="N22" s="16" t="s">
        <v>504</v>
      </c>
      <c r="O22" s="16" t="s">
        <v>504</v>
      </c>
      <c r="P22" s="16" t="s">
        <v>504</v>
      </c>
      <c r="Q22" s="16" t="s">
        <v>504</v>
      </c>
      <c r="R22" s="16" t="s">
        <v>504</v>
      </c>
      <c r="S22" s="16" t="s">
        <v>504</v>
      </c>
      <c r="T22" s="17">
        <f t="shared" si="0"/>
        <v>1</v>
      </c>
      <c r="U22" s="17">
        <f t="shared" si="1"/>
        <v>1</v>
      </c>
      <c r="V22" s="17" t="str">
        <f t="shared" si="2"/>
        <v>OK</v>
      </c>
      <c r="W22" s="16" t="s">
        <v>52</v>
      </c>
      <c r="X22" s="14" t="s">
        <v>489</v>
      </c>
      <c r="Y22" s="18" t="s">
        <v>604</v>
      </c>
    </row>
    <row r="23" spans="1:25" ht="21" customHeight="1">
      <c r="A23" s="12" t="s">
        <v>605</v>
      </c>
      <c r="B23" s="16" t="s">
        <v>606</v>
      </c>
      <c r="C23" s="16" t="s">
        <v>607</v>
      </c>
      <c r="D23" s="16" t="s">
        <v>608</v>
      </c>
      <c r="E23" s="16" t="s">
        <v>609</v>
      </c>
      <c r="F23" s="16" t="s">
        <v>610</v>
      </c>
      <c r="G23" s="16" t="s">
        <v>504</v>
      </c>
      <c r="H23" s="16" t="s">
        <v>488</v>
      </c>
      <c r="I23" s="16" t="s">
        <v>505</v>
      </c>
      <c r="J23" s="16" t="s">
        <v>486</v>
      </c>
      <c r="K23" s="16" t="s">
        <v>487</v>
      </c>
      <c r="L23" s="16" t="s">
        <v>504</v>
      </c>
      <c r="M23" s="16" t="s">
        <v>488</v>
      </c>
      <c r="N23" s="16" t="s">
        <v>504</v>
      </c>
      <c r="O23" s="16" t="s">
        <v>504</v>
      </c>
      <c r="P23" s="16" t="s">
        <v>504</v>
      </c>
      <c r="Q23" s="16" t="s">
        <v>504</v>
      </c>
      <c r="R23" s="16" t="s">
        <v>487</v>
      </c>
      <c r="S23" s="16" t="s">
        <v>487</v>
      </c>
      <c r="T23" s="17">
        <f t="shared" si="0"/>
        <v>1</v>
      </c>
      <c r="U23" s="17">
        <f t="shared" si="1"/>
        <v>3</v>
      </c>
      <c r="V23" s="17" t="str">
        <f t="shared" si="2"/>
        <v>OK</v>
      </c>
      <c r="W23" s="16" t="s">
        <v>44</v>
      </c>
      <c r="X23" s="14" t="s">
        <v>489</v>
      </c>
      <c r="Y23" s="18" t="s">
        <v>611</v>
      </c>
    </row>
    <row r="24" spans="1:25" ht="21" customHeight="1">
      <c r="A24" s="12" t="s">
        <v>612</v>
      </c>
      <c r="B24" s="12" t="s">
        <v>613</v>
      </c>
      <c r="C24" s="12" t="s">
        <v>614</v>
      </c>
      <c r="D24" s="12" t="s">
        <v>615</v>
      </c>
      <c r="E24" s="12" t="s">
        <v>616</v>
      </c>
      <c r="F24" s="12" t="s">
        <v>617</v>
      </c>
      <c r="G24" s="12" t="s">
        <v>504</v>
      </c>
      <c r="H24" s="12" t="s">
        <v>486</v>
      </c>
      <c r="I24" s="12" t="s">
        <v>505</v>
      </c>
      <c r="J24" s="16" t="s">
        <v>487</v>
      </c>
      <c r="K24" s="12" t="s">
        <v>505</v>
      </c>
      <c r="L24" s="12" t="s">
        <v>505</v>
      </c>
      <c r="M24" s="12" t="s">
        <v>504</v>
      </c>
      <c r="N24" s="12" t="s">
        <v>505</v>
      </c>
      <c r="O24" s="12" t="s">
        <v>505</v>
      </c>
      <c r="P24" s="12" t="s">
        <v>505</v>
      </c>
      <c r="Q24" s="12" t="s">
        <v>505</v>
      </c>
      <c r="R24" s="12" t="s">
        <v>487</v>
      </c>
      <c r="S24" s="16" t="s">
        <v>505</v>
      </c>
      <c r="T24" s="13">
        <f t="shared" si="0"/>
        <v>1</v>
      </c>
      <c r="U24" s="13">
        <f t="shared" si="1"/>
        <v>2</v>
      </c>
      <c r="V24" s="13" t="str">
        <f t="shared" si="2"/>
        <v>OK</v>
      </c>
      <c r="W24" s="12" t="s">
        <v>66</v>
      </c>
      <c r="X24" s="14" t="s">
        <v>489</v>
      </c>
      <c r="Y24" s="15" t="s">
        <v>618</v>
      </c>
    </row>
    <row r="25" spans="1:25" ht="21" customHeight="1">
      <c r="A25" s="12" t="s">
        <v>619</v>
      </c>
      <c r="B25" s="16" t="s">
        <v>620</v>
      </c>
      <c r="C25" s="16" t="s">
        <v>621</v>
      </c>
      <c r="D25" s="16" t="s">
        <v>622</v>
      </c>
      <c r="E25" s="16" t="s">
        <v>623</v>
      </c>
      <c r="F25" s="16" t="s">
        <v>624</v>
      </c>
      <c r="G25" s="16" t="s">
        <v>504</v>
      </c>
      <c r="H25" s="16" t="s">
        <v>504</v>
      </c>
      <c r="I25" s="16" t="s">
        <v>486</v>
      </c>
      <c r="J25" s="16" t="s">
        <v>488</v>
      </c>
      <c r="K25" s="16" t="s">
        <v>504</v>
      </c>
      <c r="L25" s="16" t="s">
        <v>504</v>
      </c>
      <c r="M25" s="16" t="s">
        <v>504</v>
      </c>
      <c r="N25" s="16" t="s">
        <v>505</v>
      </c>
      <c r="O25" s="16" t="s">
        <v>487</v>
      </c>
      <c r="P25" s="16" t="s">
        <v>487</v>
      </c>
      <c r="Q25" s="16" t="s">
        <v>487</v>
      </c>
      <c r="R25" s="16" t="s">
        <v>488</v>
      </c>
      <c r="S25" s="16" t="s">
        <v>504</v>
      </c>
      <c r="T25" s="17">
        <f t="shared" si="0"/>
        <v>1</v>
      </c>
      <c r="U25" s="17">
        <f t="shared" si="1"/>
        <v>3</v>
      </c>
      <c r="V25" s="17" t="str">
        <f t="shared" si="2"/>
        <v>OK</v>
      </c>
      <c r="W25" s="16" t="s">
        <v>85</v>
      </c>
      <c r="X25" s="14" t="s">
        <v>489</v>
      </c>
      <c r="Y25" s="18" t="s">
        <v>625</v>
      </c>
    </row>
    <row r="26" spans="1:25" ht="21" customHeight="1">
      <c r="A26" s="12" t="s">
        <v>626</v>
      </c>
      <c r="B26" s="16" t="s">
        <v>620</v>
      </c>
      <c r="C26" s="16" t="s">
        <v>627</v>
      </c>
      <c r="D26" s="16" t="s">
        <v>628</v>
      </c>
      <c r="E26" s="16" t="s">
        <v>629</v>
      </c>
      <c r="F26" s="16" t="s">
        <v>624</v>
      </c>
      <c r="G26" s="16" t="s">
        <v>504</v>
      </c>
      <c r="H26" s="16" t="s">
        <v>504</v>
      </c>
      <c r="I26" s="16" t="s">
        <v>486</v>
      </c>
      <c r="J26" s="16" t="s">
        <v>488</v>
      </c>
      <c r="K26" s="16" t="s">
        <v>504</v>
      </c>
      <c r="L26" s="16" t="s">
        <v>504</v>
      </c>
      <c r="M26" s="16" t="s">
        <v>504</v>
      </c>
      <c r="N26" s="16" t="s">
        <v>505</v>
      </c>
      <c r="O26" s="16" t="s">
        <v>487</v>
      </c>
      <c r="P26" s="16" t="s">
        <v>487</v>
      </c>
      <c r="Q26" s="16" t="s">
        <v>487</v>
      </c>
      <c r="R26" s="16" t="s">
        <v>488</v>
      </c>
      <c r="S26" s="16" t="s">
        <v>504</v>
      </c>
      <c r="T26" s="17">
        <f t="shared" si="0"/>
        <v>1</v>
      </c>
      <c r="U26" s="17">
        <f t="shared" si="1"/>
        <v>3</v>
      </c>
      <c r="V26" s="17" t="str">
        <f t="shared" si="2"/>
        <v>OK</v>
      </c>
      <c r="W26" s="16" t="s">
        <v>135</v>
      </c>
      <c r="X26" s="14" t="s">
        <v>489</v>
      </c>
      <c r="Y26" s="18" t="s">
        <v>630</v>
      </c>
    </row>
    <row r="27" spans="1:25" ht="21" customHeight="1">
      <c r="A27" s="12" t="s">
        <v>631</v>
      </c>
      <c r="B27" s="12" t="s">
        <v>632</v>
      </c>
      <c r="C27" s="12" t="s">
        <v>633</v>
      </c>
      <c r="D27" s="12" t="s">
        <v>634</v>
      </c>
      <c r="E27" s="12" t="s">
        <v>635</v>
      </c>
      <c r="F27" s="12" t="s">
        <v>636</v>
      </c>
      <c r="G27" s="12" t="s">
        <v>504</v>
      </c>
      <c r="H27" s="12" t="s">
        <v>486</v>
      </c>
      <c r="I27" s="12" t="s">
        <v>487</v>
      </c>
      <c r="J27" s="12" t="s">
        <v>505</v>
      </c>
      <c r="K27" s="12" t="s">
        <v>505</v>
      </c>
      <c r="L27" s="12" t="s">
        <v>504</v>
      </c>
      <c r="M27" s="12" t="s">
        <v>504</v>
      </c>
      <c r="N27" s="12" t="s">
        <v>505</v>
      </c>
      <c r="O27" s="12" t="s">
        <v>487</v>
      </c>
      <c r="P27" s="12" t="s">
        <v>487</v>
      </c>
      <c r="Q27" s="12" t="s">
        <v>487</v>
      </c>
      <c r="R27" s="12" t="s">
        <v>487</v>
      </c>
      <c r="S27" s="12" t="s">
        <v>505</v>
      </c>
      <c r="T27" s="13">
        <f t="shared" si="0"/>
        <v>1</v>
      </c>
      <c r="U27" s="13">
        <f t="shared" si="1"/>
        <v>5</v>
      </c>
      <c r="V27" s="13" t="str">
        <f t="shared" si="2"/>
        <v>OK</v>
      </c>
      <c r="W27" s="16" t="s">
        <v>66</v>
      </c>
      <c r="X27" s="14" t="s">
        <v>489</v>
      </c>
      <c r="Y27" s="15" t="s">
        <v>637</v>
      </c>
    </row>
    <row r="28" spans="1:25" ht="21" customHeight="1">
      <c r="A28" s="12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7"/>
      <c r="U28" s="17"/>
      <c r="V28" s="17" t="str">
        <f t="shared" si="2"/>
        <v/>
      </c>
      <c r="W28" s="16"/>
      <c r="X28" s="19"/>
      <c r="Y28" s="18"/>
    </row>
    <row r="29" spans="1:25" ht="21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3"/>
      <c r="U29" s="13"/>
      <c r="V29" s="13" t="str">
        <f t="shared" si="2"/>
        <v/>
      </c>
      <c r="W29" s="12"/>
      <c r="X29" s="14"/>
      <c r="Y29" s="15"/>
    </row>
    <row r="30" spans="1:25" ht="15.6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7"/>
      <c r="U30" s="17"/>
      <c r="V30" s="17" t="str">
        <f t="shared" si="2"/>
        <v/>
      </c>
      <c r="W30" s="16"/>
      <c r="X30" s="19"/>
      <c r="Y30" s="18"/>
    </row>
    <row r="31" spans="1:25" ht="15.6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3"/>
      <c r="U31" s="13"/>
      <c r="V31" s="13" t="str">
        <f t="shared" si="2"/>
        <v/>
      </c>
      <c r="W31" s="12"/>
      <c r="X31" s="14"/>
      <c r="Y31" s="15"/>
    </row>
    <row r="32" spans="1:25" ht="15.6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7"/>
      <c r="U32" s="17"/>
      <c r="V32" s="17" t="str">
        <f t="shared" si="2"/>
        <v/>
      </c>
      <c r="W32" s="16"/>
      <c r="X32" s="19"/>
      <c r="Y32" s="18"/>
    </row>
    <row r="33" spans="1:25" ht="15.6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3"/>
      <c r="U33" s="13"/>
      <c r="V33" s="13" t="str">
        <f t="shared" si="2"/>
        <v/>
      </c>
      <c r="W33" s="12"/>
      <c r="X33" s="14"/>
      <c r="Y33" s="15"/>
    </row>
    <row r="34" spans="1:25" ht="15.6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7"/>
      <c r="U34" s="17"/>
      <c r="V34" s="17" t="str">
        <f t="shared" si="2"/>
        <v/>
      </c>
      <c r="W34" s="16"/>
      <c r="X34" s="19"/>
      <c r="Y34" s="18"/>
    </row>
    <row r="35" spans="1:25" ht="15.6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3"/>
      <c r="U35" s="13"/>
      <c r="V35" s="13" t="str">
        <f t="shared" si="2"/>
        <v/>
      </c>
      <c r="W35" s="12"/>
      <c r="X35" s="14"/>
      <c r="Y35" s="15"/>
    </row>
    <row r="36" spans="1:25" ht="15.6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7"/>
      <c r="U36" s="17"/>
      <c r="V36" s="17" t="str">
        <f t="shared" si="2"/>
        <v/>
      </c>
      <c r="W36" s="16"/>
      <c r="X36" s="19"/>
      <c r="Y36" s="18"/>
    </row>
    <row r="37" spans="1:25" ht="15.6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3"/>
      <c r="U37" s="13"/>
      <c r="V37" s="13" t="str">
        <f t="shared" ref="V37:V68" si="3">IF(A37="","",IF(T37&lt;&gt;1,"A数量必须=1",IF(U37&lt;1,"至少需要1个R","OK")))</f>
        <v/>
      </c>
      <c r="W37" s="12"/>
      <c r="X37" s="14"/>
      <c r="Y37" s="15"/>
    </row>
    <row r="38" spans="1:25" ht="15.6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7"/>
      <c r="U38" s="17"/>
      <c r="V38" s="17" t="str">
        <f t="shared" si="3"/>
        <v/>
      </c>
      <c r="W38" s="16"/>
      <c r="X38" s="19"/>
      <c r="Y38" s="18"/>
    </row>
    <row r="39" spans="1:25" ht="15.6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3"/>
      <c r="U39" s="13"/>
      <c r="V39" s="13" t="str">
        <f t="shared" si="3"/>
        <v/>
      </c>
      <c r="W39" s="12"/>
      <c r="X39" s="14"/>
      <c r="Y39" s="15"/>
    </row>
    <row r="40" spans="1:25" ht="15.6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7"/>
      <c r="U40" s="17"/>
      <c r="V40" s="17" t="str">
        <f t="shared" si="3"/>
        <v/>
      </c>
      <c r="W40" s="16"/>
      <c r="X40" s="19"/>
      <c r="Y40" s="18"/>
    </row>
    <row r="41" spans="1:25" ht="15.6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3"/>
      <c r="U41" s="13"/>
      <c r="V41" s="13" t="str">
        <f t="shared" si="3"/>
        <v/>
      </c>
      <c r="W41" s="12"/>
      <c r="X41" s="14"/>
      <c r="Y41" s="15"/>
    </row>
    <row r="42" spans="1:25" ht="15.6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7"/>
      <c r="U42" s="17"/>
      <c r="V42" s="17" t="str">
        <f t="shared" si="3"/>
        <v/>
      </c>
      <c r="W42" s="16"/>
      <c r="X42" s="19"/>
      <c r="Y42" s="18"/>
    </row>
    <row r="43" spans="1:25" ht="15.6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3"/>
      <c r="V43" s="13" t="str">
        <f t="shared" si="3"/>
        <v/>
      </c>
      <c r="W43" s="12"/>
      <c r="X43" s="14"/>
      <c r="Y43" s="15"/>
    </row>
    <row r="44" spans="1:25" ht="15.6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7"/>
      <c r="U44" s="17"/>
      <c r="V44" s="17" t="str">
        <f t="shared" si="3"/>
        <v/>
      </c>
      <c r="W44" s="16"/>
      <c r="X44" s="19"/>
      <c r="Y44" s="18"/>
    </row>
    <row r="45" spans="1:25" ht="15.6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3"/>
      <c r="U45" s="13"/>
      <c r="V45" s="13" t="str">
        <f t="shared" si="3"/>
        <v/>
      </c>
      <c r="W45" s="12"/>
      <c r="X45" s="14"/>
      <c r="Y45" s="15"/>
    </row>
    <row r="46" spans="1:25" ht="15.6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7"/>
      <c r="U46" s="17"/>
      <c r="V46" s="17" t="str">
        <f t="shared" si="3"/>
        <v/>
      </c>
      <c r="W46" s="16"/>
      <c r="X46" s="19"/>
      <c r="Y46" s="18"/>
    </row>
    <row r="47" spans="1:25" ht="15.6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3"/>
      <c r="U47" s="13"/>
      <c r="V47" s="13" t="str">
        <f t="shared" si="3"/>
        <v/>
      </c>
      <c r="W47" s="12"/>
      <c r="X47" s="14"/>
      <c r="Y47" s="15"/>
    </row>
    <row r="48" spans="1:25" ht="15.6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7"/>
      <c r="U48" s="17"/>
      <c r="V48" s="17" t="str">
        <f t="shared" si="3"/>
        <v/>
      </c>
      <c r="W48" s="16"/>
      <c r="X48" s="19"/>
      <c r="Y48" s="18"/>
    </row>
    <row r="49" spans="1:25" ht="15.6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3"/>
      <c r="U49" s="13"/>
      <c r="V49" s="13" t="str">
        <f t="shared" si="3"/>
        <v/>
      </c>
      <c r="W49" s="12"/>
      <c r="X49" s="14"/>
      <c r="Y49" s="15"/>
    </row>
    <row r="50" spans="1:25" ht="15.6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7"/>
      <c r="U50" s="17"/>
      <c r="V50" s="17" t="str">
        <f t="shared" si="3"/>
        <v/>
      </c>
      <c r="W50" s="16"/>
      <c r="X50" s="19"/>
      <c r="Y50" s="18"/>
    </row>
    <row r="51" spans="1:25" ht="15.6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3"/>
      <c r="U51" s="13"/>
      <c r="V51" s="13" t="str">
        <f t="shared" si="3"/>
        <v/>
      </c>
      <c r="W51" s="12"/>
      <c r="X51" s="14"/>
      <c r="Y51" s="15"/>
    </row>
    <row r="52" spans="1:25" ht="15.6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7"/>
      <c r="U52" s="17"/>
      <c r="V52" s="17" t="str">
        <f t="shared" si="3"/>
        <v/>
      </c>
      <c r="W52" s="16"/>
      <c r="X52" s="19"/>
      <c r="Y52" s="18"/>
    </row>
    <row r="53" spans="1:25" ht="15.6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3"/>
      <c r="U53" s="13"/>
      <c r="V53" s="13" t="str">
        <f t="shared" si="3"/>
        <v/>
      </c>
      <c r="W53" s="12"/>
      <c r="X53" s="14"/>
      <c r="Y53" s="15"/>
    </row>
    <row r="54" spans="1:25" ht="15.6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7"/>
      <c r="U54" s="17"/>
      <c r="V54" s="17" t="str">
        <f t="shared" si="3"/>
        <v/>
      </c>
      <c r="W54" s="16"/>
      <c r="X54" s="19"/>
      <c r="Y54" s="18"/>
    </row>
    <row r="55" spans="1:25" ht="15.6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3"/>
      <c r="U55" s="13"/>
      <c r="V55" s="13" t="str">
        <f t="shared" si="3"/>
        <v/>
      </c>
      <c r="W55" s="12"/>
      <c r="X55" s="14"/>
      <c r="Y55" s="15"/>
    </row>
    <row r="56" spans="1:25" ht="15.6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7"/>
      <c r="U56" s="17"/>
      <c r="V56" s="17" t="str">
        <f t="shared" si="3"/>
        <v/>
      </c>
      <c r="W56" s="16"/>
      <c r="X56" s="19"/>
      <c r="Y56" s="18"/>
    </row>
    <row r="57" spans="1:25" ht="15.6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/>
      <c r="U57" s="13"/>
      <c r="V57" s="13" t="str">
        <f t="shared" si="3"/>
        <v/>
      </c>
      <c r="W57" s="12"/>
      <c r="X57" s="14"/>
      <c r="Y57" s="15"/>
    </row>
    <row r="58" spans="1:25" ht="15.6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7"/>
      <c r="U58" s="17"/>
      <c r="V58" s="17" t="str">
        <f t="shared" si="3"/>
        <v/>
      </c>
      <c r="W58" s="16"/>
      <c r="X58" s="19"/>
      <c r="Y58" s="18"/>
    </row>
    <row r="59" spans="1:25" ht="15.6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3"/>
      <c r="U59" s="13"/>
      <c r="V59" s="13" t="str">
        <f t="shared" si="3"/>
        <v/>
      </c>
      <c r="W59" s="12"/>
      <c r="X59" s="14"/>
      <c r="Y59" s="15"/>
    </row>
    <row r="60" spans="1:25" ht="15.6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7"/>
      <c r="U60" s="17"/>
      <c r="V60" s="17" t="str">
        <f t="shared" si="3"/>
        <v/>
      </c>
      <c r="W60" s="16"/>
      <c r="X60" s="19"/>
      <c r="Y60" s="18"/>
    </row>
    <row r="61" spans="1:25" ht="15.6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3"/>
      <c r="U61" s="13"/>
      <c r="V61" s="13" t="str">
        <f t="shared" si="3"/>
        <v/>
      </c>
      <c r="W61" s="12"/>
      <c r="X61" s="14"/>
      <c r="Y61" s="15"/>
    </row>
    <row r="62" spans="1:25" ht="15.6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7"/>
      <c r="U62" s="17"/>
      <c r="V62" s="17" t="str">
        <f t="shared" si="3"/>
        <v/>
      </c>
      <c r="W62" s="16"/>
      <c r="X62" s="19"/>
      <c r="Y62" s="18"/>
    </row>
    <row r="63" spans="1:25" ht="15.6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3"/>
      <c r="U63" s="13"/>
      <c r="V63" s="13" t="str">
        <f t="shared" si="3"/>
        <v/>
      </c>
      <c r="W63" s="12"/>
      <c r="X63" s="14"/>
      <c r="Y63" s="15"/>
    </row>
    <row r="64" spans="1:25" ht="15.6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7"/>
      <c r="U64" s="17"/>
      <c r="V64" s="17" t="str">
        <f t="shared" si="3"/>
        <v/>
      </c>
      <c r="W64" s="16"/>
      <c r="X64" s="19"/>
      <c r="Y64" s="18"/>
    </row>
    <row r="65" spans="1:25" ht="15.6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3"/>
      <c r="U65" s="13"/>
      <c r="V65" s="13" t="str">
        <f t="shared" si="3"/>
        <v/>
      </c>
      <c r="W65" s="12"/>
      <c r="X65" s="14"/>
      <c r="Y65" s="15"/>
    </row>
    <row r="66" spans="1:25" ht="15.6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7"/>
      <c r="U66" s="17"/>
      <c r="V66" s="17" t="str">
        <f t="shared" si="3"/>
        <v/>
      </c>
      <c r="W66" s="16"/>
      <c r="X66" s="19"/>
      <c r="Y66" s="18"/>
    </row>
    <row r="67" spans="1:25" ht="15.6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3"/>
      <c r="U67" s="13"/>
      <c r="V67" s="13" t="str">
        <f t="shared" si="3"/>
        <v/>
      </c>
      <c r="W67" s="12"/>
      <c r="X67" s="14"/>
      <c r="Y67" s="15"/>
    </row>
    <row r="68" spans="1:25" ht="15.6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7"/>
      <c r="U68" s="17"/>
      <c r="V68" s="17" t="str">
        <f t="shared" si="3"/>
        <v/>
      </c>
      <c r="W68" s="16"/>
      <c r="X68" s="19"/>
      <c r="Y68" s="18"/>
    </row>
    <row r="69" spans="1:25" ht="15.6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3"/>
      <c r="U69" s="13"/>
      <c r="V69" s="13" t="str">
        <f t="shared" ref="V69:V100" si="4">IF(A69="","",IF(T69&lt;&gt;1,"A数量必须=1",IF(U69&lt;1,"至少需要1个R","OK")))</f>
        <v/>
      </c>
      <c r="W69" s="12"/>
      <c r="X69" s="14"/>
      <c r="Y69" s="15"/>
    </row>
    <row r="70" spans="1:25" ht="15.6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7"/>
      <c r="U70" s="17"/>
      <c r="V70" s="17" t="str">
        <f t="shared" si="4"/>
        <v/>
      </c>
      <c r="W70" s="16"/>
      <c r="X70" s="19"/>
      <c r="Y70" s="18"/>
    </row>
    <row r="71" spans="1:25" ht="15.6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3"/>
      <c r="U71" s="13"/>
      <c r="V71" s="13" t="str">
        <f t="shared" si="4"/>
        <v/>
      </c>
      <c r="W71" s="12"/>
      <c r="X71" s="14"/>
      <c r="Y71" s="15"/>
    </row>
    <row r="72" spans="1:25" ht="15.6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7"/>
      <c r="U72" s="17"/>
      <c r="V72" s="17" t="str">
        <f t="shared" si="4"/>
        <v/>
      </c>
      <c r="W72" s="16"/>
      <c r="X72" s="19"/>
      <c r="Y72" s="18"/>
    </row>
    <row r="73" spans="1:25" ht="15.6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3"/>
      <c r="U73" s="13"/>
      <c r="V73" s="13" t="str">
        <f t="shared" si="4"/>
        <v/>
      </c>
      <c r="W73" s="12"/>
      <c r="X73" s="14"/>
      <c r="Y73" s="15"/>
    </row>
    <row r="74" spans="1:25" ht="15.6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7"/>
      <c r="U74" s="17"/>
      <c r="V74" s="17" t="str">
        <f t="shared" si="4"/>
        <v/>
      </c>
      <c r="W74" s="16"/>
      <c r="X74" s="19"/>
      <c r="Y74" s="18"/>
    </row>
    <row r="75" spans="1:25" ht="15.6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3"/>
      <c r="U75" s="13"/>
      <c r="V75" s="13" t="str">
        <f t="shared" si="4"/>
        <v/>
      </c>
      <c r="W75" s="12"/>
      <c r="X75" s="14"/>
      <c r="Y75" s="15"/>
    </row>
    <row r="76" spans="1:25" ht="15.6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7"/>
      <c r="U76" s="17"/>
      <c r="V76" s="17" t="str">
        <f t="shared" si="4"/>
        <v/>
      </c>
      <c r="W76" s="16"/>
      <c r="X76" s="19"/>
      <c r="Y76" s="18"/>
    </row>
    <row r="77" spans="1:25" ht="15.6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3"/>
      <c r="U77" s="13"/>
      <c r="V77" s="13" t="str">
        <f t="shared" si="4"/>
        <v/>
      </c>
      <c r="W77" s="12"/>
      <c r="X77" s="14"/>
      <c r="Y77" s="15"/>
    </row>
    <row r="78" spans="1:25" ht="15.6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7"/>
      <c r="U78" s="17"/>
      <c r="V78" s="17" t="str">
        <f t="shared" si="4"/>
        <v/>
      </c>
      <c r="W78" s="16"/>
      <c r="X78" s="19"/>
      <c r="Y78" s="18"/>
    </row>
    <row r="79" spans="1:25" ht="15.6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3"/>
      <c r="U79" s="13"/>
      <c r="V79" s="13" t="str">
        <f t="shared" si="4"/>
        <v/>
      </c>
      <c r="W79" s="12"/>
      <c r="X79" s="14"/>
      <c r="Y79" s="15"/>
    </row>
    <row r="80" spans="1:25" ht="15.6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7"/>
      <c r="U80" s="17"/>
      <c r="V80" s="17" t="str">
        <f t="shared" si="4"/>
        <v/>
      </c>
      <c r="W80" s="16"/>
      <c r="X80" s="19"/>
      <c r="Y80" s="18"/>
    </row>
    <row r="81" spans="1:25" ht="15.6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3"/>
      <c r="U81" s="13"/>
      <c r="V81" s="13" t="str">
        <f t="shared" si="4"/>
        <v/>
      </c>
      <c r="W81" s="12"/>
      <c r="X81" s="14"/>
      <c r="Y81" s="15"/>
    </row>
    <row r="82" spans="1:25" ht="15.6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7"/>
      <c r="U82" s="17"/>
      <c r="V82" s="17" t="str">
        <f t="shared" si="4"/>
        <v/>
      </c>
      <c r="W82" s="16"/>
      <c r="X82" s="19"/>
      <c r="Y82" s="18"/>
    </row>
    <row r="83" spans="1:25" ht="15.6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3"/>
      <c r="U83" s="13"/>
      <c r="V83" s="13" t="str">
        <f t="shared" si="4"/>
        <v/>
      </c>
      <c r="W83" s="12"/>
      <c r="X83" s="14"/>
      <c r="Y83" s="15"/>
    </row>
    <row r="84" spans="1:25" ht="15.6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7"/>
      <c r="U84" s="17"/>
      <c r="V84" s="17" t="str">
        <f t="shared" si="4"/>
        <v/>
      </c>
      <c r="W84" s="16"/>
      <c r="X84" s="19"/>
      <c r="Y84" s="18"/>
    </row>
    <row r="85" spans="1:25" ht="15.6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3"/>
      <c r="U85" s="13"/>
      <c r="V85" s="13" t="str">
        <f t="shared" si="4"/>
        <v/>
      </c>
      <c r="W85" s="12"/>
      <c r="X85" s="14"/>
      <c r="Y85" s="15"/>
    </row>
    <row r="86" spans="1:25" ht="15.6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7"/>
      <c r="U86" s="17"/>
      <c r="V86" s="17" t="str">
        <f t="shared" si="4"/>
        <v/>
      </c>
      <c r="W86" s="16"/>
      <c r="X86" s="19"/>
      <c r="Y86" s="18"/>
    </row>
  </sheetData>
  <autoFilter ref="A4:Y86" xr:uid="{00000000-0009-0000-0000-000005000000}"/>
  <mergeCells count="2">
    <mergeCell ref="A2:Y2"/>
    <mergeCell ref="A1:Y1"/>
  </mergeCells>
  <phoneticPr fontId="16" type="noConversion"/>
  <conditionalFormatting sqref="G5:S86">
    <cfRule type="expression" dxfId="5" priority="1">
      <formula>G5="A"</formula>
    </cfRule>
    <cfRule type="expression" dxfId="4" priority="2">
      <formula>G5="R"</formula>
    </cfRule>
    <cfRule type="expression" dxfId="3" priority="3">
      <formula>G5="C"</formula>
    </cfRule>
    <cfRule type="expression" dxfId="2" priority="4">
      <formula>G5="I"</formula>
    </cfRule>
  </conditionalFormatting>
  <conditionalFormatting sqref="V5:V86">
    <cfRule type="expression" dxfId="1" priority="5">
      <formula>V5="OK"</formula>
    </cfRule>
    <cfRule type="expression" dxfId="0" priority="6">
      <formula>AND(V5&lt;&gt;"",V5&lt;&gt;"OK")</formula>
    </cfRule>
  </conditionalFormatting>
  <dataValidations count="2">
    <dataValidation type="list" allowBlank="1" errorTitle="填写值无效" error="请从下拉列表中选择标准值。" promptTitle="填写提示" prompt="请选择标准值。" sqref="B5:B14 B16:B86 C15" xr:uid="{00000000-0002-0000-0500-000000000000}">
      <formula1>"经营管理,客户/订单,产品/技术,生产,模具/设备,质量,行政/人事,采购/供应商,交付,改善/审核,其他"</formula1>
    </dataValidation>
    <dataValidation type="list" allowBlank="1" errorTitle="填写值无效" error="请从下拉列表中选择标准值。" promptTitle="填写提示" prompt="请选择标准值。" sqref="G5:S86" xr:uid="{00000000-0002-0000-0500-000001000000}">
      <formula1>"A,R,C,I,—"</formula1>
    </dataValidation>
  </dataValidations>
  <pageMargins left="0.25" right="0.25" top="0.45" bottom="0.45" header="0.5" footer="0.5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64"/>
  <sheetViews>
    <sheetView showGridLines="0" zoomScale="90" zoomScaleNormal="90" workbookViewId="0">
      <selection activeCell="H12" sqref="H12"/>
    </sheetView>
  </sheetViews>
  <sheetFormatPr defaultColWidth="9" defaultRowHeight="14.4"/>
  <cols>
    <col min="1" max="1" width="14" customWidth="1"/>
    <col min="2" max="2" width="34" customWidth="1"/>
    <col min="3" max="3" width="24" customWidth="1"/>
    <col min="4" max="4" width="14" customWidth="1"/>
    <col min="5" max="5" width="16" customWidth="1"/>
    <col min="6" max="6" width="34" customWidth="1"/>
    <col min="7" max="7" width="13" customWidth="1"/>
    <col min="8" max="9" width="30" customWidth="1"/>
    <col min="10" max="10" width="16" customWidth="1"/>
    <col min="11" max="11" width="13" customWidth="1"/>
    <col min="12" max="12" width="28" customWidth="1"/>
  </cols>
  <sheetData>
    <row r="1" spans="1:12" ht="34.049999999999997" customHeight="1">
      <c r="A1" s="44" t="s">
        <v>638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4.049999999999997" customHeight="1">
      <c r="A2" s="41" t="s">
        <v>639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ht="40.049999999999997" customHeight="1">
      <c r="A4" s="2" t="s">
        <v>640</v>
      </c>
      <c r="B4" s="2" t="s">
        <v>641</v>
      </c>
      <c r="C4" s="2" t="s">
        <v>642</v>
      </c>
      <c r="D4" s="2" t="s">
        <v>643</v>
      </c>
      <c r="E4" s="2" t="s">
        <v>644</v>
      </c>
      <c r="F4" s="2" t="s">
        <v>645</v>
      </c>
      <c r="G4" s="2" t="s">
        <v>646</v>
      </c>
      <c r="H4" s="2" t="s">
        <v>647</v>
      </c>
      <c r="I4" s="2" t="s">
        <v>648</v>
      </c>
      <c r="J4" s="2" t="s">
        <v>649</v>
      </c>
      <c r="K4" s="2" t="s">
        <v>650</v>
      </c>
      <c r="L4" s="2" t="s">
        <v>17</v>
      </c>
    </row>
    <row r="5" spans="1:12" ht="15" customHeight="1">
      <c r="A5" s="5" t="s">
        <v>651</v>
      </c>
      <c r="B5" s="5" t="s">
        <v>652</v>
      </c>
      <c r="C5" s="5" t="s">
        <v>653</v>
      </c>
      <c r="D5" s="5" t="s">
        <v>654</v>
      </c>
      <c r="E5" s="5" t="s">
        <v>313</v>
      </c>
      <c r="F5" s="5"/>
      <c r="G5" s="6"/>
      <c r="H5" s="5" t="s">
        <v>655</v>
      </c>
      <c r="I5" s="5" t="s">
        <v>656</v>
      </c>
      <c r="J5" s="5" t="s">
        <v>322</v>
      </c>
      <c r="K5" s="6"/>
      <c r="L5" s="5"/>
    </row>
    <row r="6" spans="1:12" ht="30" customHeight="1">
      <c r="A6" s="7" t="s">
        <v>657</v>
      </c>
      <c r="B6" s="7" t="s">
        <v>658</v>
      </c>
      <c r="C6" s="7" t="s">
        <v>653</v>
      </c>
      <c r="D6" s="7" t="s">
        <v>654</v>
      </c>
      <c r="E6" s="7" t="s">
        <v>313</v>
      </c>
      <c r="F6" s="7"/>
      <c r="G6" s="8"/>
      <c r="H6" s="7" t="s">
        <v>655</v>
      </c>
      <c r="I6" s="7" t="s">
        <v>656</v>
      </c>
      <c r="J6" s="7" t="s">
        <v>322</v>
      </c>
      <c r="K6" s="8"/>
      <c r="L6" s="7"/>
    </row>
    <row r="7" spans="1:12" ht="30" customHeight="1">
      <c r="A7" s="5" t="s">
        <v>659</v>
      </c>
      <c r="B7" s="5" t="s">
        <v>660</v>
      </c>
      <c r="C7" s="5" t="s">
        <v>83</v>
      </c>
      <c r="D7" s="5" t="s">
        <v>654</v>
      </c>
      <c r="E7" s="5" t="s">
        <v>79</v>
      </c>
      <c r="F7" s="5"/>
      <c r="G7" s="6"/>
      <c r="H7" s="5" t="s">
        <v>661</v>
      </c>
      <c r="I7" s="5" t="s">
        <v>662</v>
      </c>
      <c r="J7" s="5" t="s">
        <v>322</v>
      </c>
      <c r="K7" s="6"/>
      <c r="L7" s="5"/>
    </row>
    <row r="8" spans="1:12" ht="30" customHeight="1">
      <c r="A8" s="5" t="s">
        <v>663</v>
      </c>
      <c r="B8" s="5" t="s">
        <v>664</v>
      </c>
      <c r="C8" s="5" t="s">
        <v>89</v>
      </c>
      <c r="D8" s="5" t="s">
        <v>654</v>
      </c>
      <c r="E8" s="5" t="s">
        <v>79</v>
      </c>
      <c r="F8" s="5"/>
      <c r="G8" s="6"/>
      <c r="H8" s="5" t="s">
        <v>665</v>
      </c>
      <c r="I8" s="5" t="s">
        <v>666</v>
      </c>
      <c r="J8" s="5" t="s">
        <v>322</v>
      </c>
      <c r="K8" s="6"/>
      <c r="L8" s="5"/>
    </row>
    <row r="9" spans="1:12" ht="30" customHeight="1">
      <c r="A9" s="7" t="s">
        <v>667</v>
      </c>
      <c r="B9" s="7" t="s">
        <v>668</v>
      </c>
      <c r="C9" s="7" t="s">
        <v>99</v>
      </c>
      <c r="D9" s="7" t="s">
        <v>654</v>
      </c>
      <c r="E9" s="7" t="s">
        <v>79</v>
      </c>
      <c r="F9" s="7"/>
      <c r="G9" s="8"/>
      <c r="H9" s="7" t="s">
        <v>661</v>
      </c>
      <c r="I9" s="7" t="s">
        <v>669</v>
      </c>
      <c r="J9" s="7" t="s">
        <v>322</v>
      </c>
      <c r="K9" s="8"/>
      <c r="L9" s="7"/>
    </row>
    <row r="10" spans="1:12" ht="15" customHeight="1">
      <c r="A10" s="5" t="s">
        <v>670</v>
      </c>
      <c r="B10" s="5" t="s">
        <v>671</v>
      </c>
      <c r="C10" s="5" t="s">
        <v>94</v>
      </c>
      <c r="D10" s="5" t="s">
        <v>654</v>
      </c>
      <c r="E10" s="5" t="s">
        <v>672</v>
      </c>
      <c r="F10" s="5"/>
      <c r="G10" s="6"/>
      <c r="H10" s="5" t="s">
        <v>673</v>
      </c>
      <c r="I10" s="5" t="s">
        <v>674</v>
      </c>
      <c r="J10" s="5" t="s">
        <v>322</v>
      </c>
      <c r="K10" s="6"/>
      <c r="L10" s="5"/>
    </row>
    <row r="11" spans="1:12" ht="30" customHeight="1">
      <c r="A11" s="7" t="s">
        <v>675</v>
      </c>
      <c r="B11" s="7" t="s">
        <v>676</v>
      </c>
      <c r="C11" s="7" t="s">
        <v>653</v>
      </c>
      <c r="D11" s="7" t="s">
        <v>654</v>
      </c>
      <c r="E11" s="7" t="s">
        <v>69</v>
      </c>
      <c r="F11" s="7"/>
      <c r="G11" s="8"/>
      <c r="H11" s="7" t="s">
        <v>677</v>
      </c>
      <c r="I11" s="7" t="s">
        <v>678</v>
      </c>
      <c r="J11" s="7" t="s">
        <v>322</v>
      </c>
      <c r="K11" s="8"/>
      <c r="L11" s="7"/>
    </row>
    <row r="12" spans="1:12" ht="30" customHeight="1">
      <c r="A12" s="5" t="s">
        <v>679</v>
      </c>
      <c r="B12" s="5" t="s">
        <v>680</v>
      </c>
      <c r="C12" s="5" t="s">
        <v>681</v>
      </c>
      <c r="D12" s="5" t="s">
        <v>654</v>
      </c>
      <c r="E12" s="5" t="s">
        <v>79</v>
      </c>
      <c r="F12" s="5"/>
      <c r="G12" s="6"/>
      <c r="H12" s="5" t="s">
        <v>682</v>
      </c>
      <c r="I12" s="5" t="s">
        <v>683</v>
      </c>
      <c r="J12" s="5" t="s">
        <v>322</v>
      </c>
      <c r="K12" s="6"/>
      <c r="L12" s="5"/>
    </row>
    <row r="13" spans="1:12" ht="45" customHeight="1">
      <c r="A13" s="5" t="s">
        <v>684</v>
      </c>
      <c r="B13" s="5" t="s">
        <v>685</v>
      </c>
      <c r="C13" s="5" t="s">
        <v>686</v>
      </c>
      <c r="D13" s="5" t="s">
        <v>687</v>
      </c>
      <c r="E13" s="5" t="s">
        <v>79</v>
      </c>
      <c r="F13" s="5"/>
      <c r="G13" s="6"/>
      <c r="H13" s="5" t="s">
        <v>688</v>
      </c>
      <c r="I13" s="5" t="s">
        <v>689</v>
      </c>
      <c r="J13" s="5" t="s">
        <v>322</v>
      </c>
      <c r="K13" s="6"/>
      <c r="L13" s="5"/>
    </row>
    <row r="14" spans="1:12" ht="30" customHeight="1">
      <c r="A14" s="7"/>
      <c r="B14" s="7"/>
      <c r="C14" s="7"/>
      <c r="D14" s="7"/>
      <c r="E14" s="7"/>
      <c r="F14" s="7"/>
      <c r="G14" s="8"/>
      <c r="H14" s="7"/>
      <c r="I14" s="7"/>
      <c r="J14" s="7"/>
      <c r="K14" s="8"/>
      <c r="L14" s="7"/>
    </row>
    <row r="15" spans="1:12" ht="30" customHeight="1">
      <c r="A15" s="5"/>
      <c r="B15" s="5"/>
      <c r="C15" s="5"/>
      <c r="D15" s="5"/>
      <c r="E15" s="5"/>
      <c r="F15" s="5"/>
      <c r="G15" s="6"/>
      <c r="H15" s="5"/>
      <c r="I15" s="5"/>
      <c r="J15" s="5"/>
      <c r="K15" s="6"/>
      <c r="L15" s="5"/>
    </row>
    <row r="16" spans="1:12" ht="15" customHeight="1">
      <c r="A16" s="7"/>
      <c r="B16" s="7"/>
      <c r="C16" s="7"/>
      <c r="D16" s="7"/>
      <c r="E16" s="7"/>
      <c r="F16" s="7"/>
      <c r="G16" s="8"/>
      <c r="H16" s="7"/>
      <c r="I16" s="7"/>
      <c r="J16" s="7"/>
      <c r="K16" s="8"/>
      <c r="L16" s="7"/>
    </row>
    <row r="17" spans="1:12" ht="15" customHeight="1">
      <c r="A17" s="5"/>
      <c r="B17" s="5"/>
      <c r="C17" s="5"/>
      <c r="D17" s="5"/>
      <c r="E17" s="5"/>
      <c r="F17" s="5"/>
      <c r="G17" s="6"/>
      <c r="H17" s="5"/>
      <c r="I17" s="5"/>
      <c r="J17" s="5"/>
      <c r="K17" s="6"/>
      <c r="L17" s="5"/>
    </row>
    <row r="18" spans="1:12" ht="15" customHeight="1">
      <c r="A18" s="7"/>
      <c r="B18" s="7"/>
      <c r="C18" s="7"/>
      <c r="D18" s="7"/>
      <c r="E18" s="7"/>
      <c r="F18" s="7"/>
      <c r="G18" s="8"/>
      <c r="H18" s="7"/>
      <c r="I18" s="7"/>
      <c r="J18" s="7"/>
      <c r="K18" s="8"/>
      <c r="L18" s="7"/>
    </row>
    <row r="19" spans="1:12" ht="15" customHeight="1">
      <c r="A19" s="5"/>
      <c r="B19" s="5"/>
      <c r="C19" s="5"/>
      <c r="D19" s="5"/>
      <c r="E19" s="5"/>
      <c r="F19" s="5"/>
      <c r="G19" s="6"/>
      <c r="H19" s="5"/>
      <c r="I19" s="5"/>
      <c r="J19" s="5"/>
      <c r="K19" s="6"/>
      <c r="L19" s="5"/>
    </row>
    <row r="20" spans="1:12" ht="15" customHeight="1">
      <c r="A20" s="7"/>
      <c r="B20" s="7"/>
      <c r="C20" s="7"/>
      <c r="D20" s="7"/>
      <c r="E20" s="7"/>
      <c r="F20" s="7"/>
      <c r="G20" s="8"/>
      <c r="H20" s="7"/>
      <c r="I20" s="7"/>
      <c r="J20" s="7"/>
      <c r="K20" s="8"/>
      <c r="L20" s="7"/>
    </row>
    <row r="21" spans="1:12" ht="15" customHeight="1">
      <c r="A21" s="5"/>
      <c r="B21" s="5"/>
      <c r="C21" s="5"/>
      <c r="D21" s="5"/>
      <c r="E21" s="5"/>
      <c r="F21" s="5"/>
      <c r="G21" s="6"/>
      <c r="H21" s="5"/>
      <c r="I21" s="5"/>
      <c r="J21" s="5"/>
      <c r="K21" s="6"/>
      <c r="L21" s="5"/>
    </row>
    <row r="22" spans="1:12" ht="15" customHeight="1">
      <c r="A22" s="7"/>
      <c r="B22" s="7"/>
      <c r="C22" s="7"/>
      <c r="D22" s="7"/>
      <c r="E22" s="7"/>
      <c r="F22" s="7"/>
      <c r="G22" s="8"/>
      <c r="H22" s="7"/>
      <c r="I22" s="7"/>
      <c r="J22" s="7"/>
      <c r="K22" s="8"/>
      <c r="L22" s="7"/>
    </row>
    <row r="23" spans="1:12" ht="15" customHeight="1">
      <c r="A23" s="5"/>
      <c r="B23" s="5"/>
      <c r="C23" s="5"/>
      <c r="D23" s="5"/>
      <c r="E23" s="5"/>
      <c r="F23" s="5"/>
      <c r="G23" s="6"/>
      <c r="H23" s="5"/>
      <c r="I23" s="5"/>
      <c r="J23" s="5"/>
      <c r="K23" s="6"/>
      <c r="L23" s="5"/>
    </row>
    <row r="24" spans="1:12" ht="15" customHeight="1">
      <c r="A24" s="7"/>
      <c r="B24" s="7"/>
      <c r="C24" s="7"/>
      <c r="D24" s="7"/>
      <c r="E24" s="7"/>
      <c r="F24" s="7"/>
      <c r="G24" s="8"/>
      <c r="H24" s="7"/>
      <c r="I24" s="7"/>
      <c r="J24" s="7"/>
      <c r="K24" s="8"/>
      <c r="L24" s="7"/>
    </row>
    <row r="25" spans="1:12" ht="15" customHeight="1">
      <c r="A25" s="5"/>
      <c r="B25" s="5"/>
      <c r="C25" s="5"/>
      <c r="D25" s="5"/>
      <c r="E25" s="5"/>
      <c r="F25" s="5"/>
      <c r="G25" s="6"/>
      <c r="H25" s="5"/>
      <c r="I25" s="5"/>
      <c r="J25" s="5"/>
      <c r="K25" s="6"/>
      <c r="L25" s="5"/>
    </row>
    <row r="26" spans="1:12" ht="15" customHeight="1">
      <c r="A26" s="7"/>
      <c r="B26" s="7"/>
      <c r="C26" s="7"/>
      <c r="D26" s="7"/>
      <c r="E26" s="7"/>
      <c r="F26" s="7"/>
      <c r="G26" s="8"/>
      <c r="H26" s="7"/>
      <c r="I26" s="7"/>
      <c r="J26" s="7"/>
      <c r="K26" s="8"/>
      <c r="L26" s="7"/>
    </row>
    <row r="27" spans="1:12" ht="15" customHeight="1">
      <c r="A27" s="5"/>
      <c r="B27" s="5"/>
      <c r="C27" s="5"/>
      <c r="D27" s="5"/>
      <c r="E27" s="5"/>
      <c r="F27" s="5"/>
      <c r="G27" s="6"/>
      <c r="H27" s="5"/>
      <c r="I27" s="5"/>
      <c r="J27" s="5"/>
      <c r="K27" s="6"/>
      <c r="L27" s="5"/>
    </row>
    <row r="28" spans="1:12" ht="15" customHeight="1">
      <c r="A28" s="7"/>
      <c r="B28" s="7"/>
      <c r="C28" s="7"/>
      <c r="D28" s="7"/>
      <c r="E28" s="7"/>
      <c r="F28" s="7"/>
      <c r="G28" s="8"/>
      <c r="H28" s="7"/>
      <c r="I28" s="7"/>
      <c r="J28" s="7"/>
      <c r="K28" s="8"/>
      <c r="L28" s="7"/>
    </row>
    <row r="29" spans="1:12" ht="15" customHeight="1">
      <c r="A29" s="5"/>
      <c r="B29" s="5"/>
      <c r="C29" s="5"/>
      <c r="D29" s="5"/>
      <c r="E29" s="5"/>
      <c r="F29" s="5"/>
      <c r="G29" s="6"/>
      <c r="H29" s="5"/>
      <c r="I29" s="5"/>
      <c r="J29" s="5"/>
      <c r="K29" s="6"/>
      <c r="L29" s="5"/>
    </row>
    <row r="30" spans="1:12" ht="15" customHeight="1">
      <c r="A30" s="7"/>
      <c r="B30" s="7"/>
      <c r="C30" s="7"/>
      <c r="D30" s="7"/>
      <c r="E30" s="7"/>
      <c r="F30" s="7"/>
      <c r="G30" s="8"/>
      <c r="H30" s="7"/>
      <c r="I30" s="7"/>
      <c r="J30" s="7"/>
      <c r="K30" s="8"/>
      <c r="L30" s="7"/>
    </row>
    <row r="31" spans="1:12" ht="15" customHeight="1">
      <c r="A31" s="5"/>
      <c r="B31" s="5"/>
      <c r="C31" s="5"/>
      <c r="D31" s="5"/>
      <c r="E31" s="5"/>
      <c r="F31" s="5"/>
      <c r="G31" s="6"/>
      <c r="H31" s="5"/>
      <c r="I31" s="5"/>
      <c r="J31" s="5"/>
      <c r="K31" s="6"/>
      <c r="L31" s="5"/>
    </row>
    <row r="32" spans="1:12" ht="15" customHeight="1">
      <c r="A32" s="7"/>
      <c r="B32" s="7"/>
      <c r="C32" s="7"/>
      <c r="D32" s="7"/>
      <c r="E32" s="7"/>
      <c r="F32" s="7"/>
      <c r="G32" s="8"/>
      <c r="H32" s="7"/>
      <c r="I32" s="7"/>
      <c r="J32" s="7"/>
      <c r="K32" s="8"/>
      <c r="L32" s="7"/>
    </row>
    <row r="33" spans="1:12" ht="15" customHeight="1">
      <c r="A33" s="5"/>
      <c r="B33" s="5"/>
      <c r="C33" s="5"/>
      <c r="D33" s="5"/>
      <c r="E33" s="5"/>
      <c r="F33" s="5"/>
      <c r="G33" s="6"/>
      <c r="H33" s="5"/>
      <c r="I33" s="5"/>
      <c r="J33" s="5"/>
      <c r="K33" s="6"/>
      <c r="L33" s="5"/>
    </row>
    <row r="34" spans="1:12" ht="15" customHeight="1">
      <c r="A34" s="7"/>
      <c r="B34" s="7"/>
      <c r="C34" s="7"/>
      <c r="D34" s="7"/>
      <c r="E34" s="7"/>
      <c r="F34" s="7"/>
      <c r="G34" s="8"/>
      <c r="H34" s="7"/>
      <c r="I34" s="7"/>
      <c r="J34" s="7"/>
      <c r="K34" s="8"/>
      <c r="L34" s="7"/>
    </row>
    <row r="35" spans="1:12" ht="15" customHeight="1">
      <c r="A35" s="5"/>
      <c r="B35" s="5"/>
      <c r="C35" s="5"/>
      <c r="D35" s="5"/>
      <c r="E35" s="5"/>
      <c r="F35" s="5"/>
      <c r="G35" s="6"/>
      <c r="H35" s="5"/>
      <c r="I35" s="5"/>
      <c r="J35" s="5"/>
      <c r="K35" s="6"/>
      <c r="L35" s="5"/>
    </row>
    <row r="36" spans="1:12" ht="15" customHeight="1">
      <c r="A36" s="7"/>
      <c r="B36" s="7"/>
      <c r="C36" s="7"/>
      <c r="D36" s="7"/>
      <c r="E36" s="7"/>
      <c r="F36" s="7"/>
      <c r="G36" s="8"/>
      <c r="H36" s="7"/>
      <c r="I36" s="7"/>
      <c r="J36" s="7"/>
      <c r="K36" s="8"/>
      <c r="L36" s="7"/>
    </row>
    <row r="37" spans="1:12" ht="15" customHeight="1">
      <c r="A37" s="5"/>
      <c r="B37" s="5"/>
      <c r="C37" s="5"/>
      <c r="D37" s="5"/>
      <c r="E37" s="5"/>
      <c r="F37" s="5"/>
      <c r="G37" s="6"/>
      <c r="H37" s="5"/>
      <c r="I37" s="5"/>
      <c r="J37" s="5"/>
      <c r="K37" s="6"/>
      <c r="L37" s="5"/>
    </row>
    <row r="38" spans="1:12" ht="15" customHeight="1">
      <c r="A38" s="7"/>
      <c r="B38" s="7"/>
      <c r="C38" s="7"/>
      <c r="D38" s="7"/>
      <c r="E38" s="7"/>
      <c r="F38" s="7"/>
      <c r="G38" s="8"/>
      <c r="H38" s="7"/>
      <c r="I38" s="7"/>
      <c r="J38" s="7"/>
      <c r="K38" s="8"/>
      <c r="L38" s="7"/>
    </row>
    <row r="39" spans="1:12" ht="15" customHeight="1">
      <c r="A39" s="5"/>
      <c r="B39" s="5"/>
      <c r="C39" s="5"/>
      <c r="D39" s="5"/>
      <c r="E39" s="5"/>
      <c r="F39" s="5"/>
      <c r="G39" s="6"/>
      <c r="H39" s="5"/>
      <c r="I39" s="5"/>
      <c r="J39" s="5"/>
      <c r="K39" s="6"/>
      <c r="L39" s="5"/>
    </row>
    <row r="40" spans="1:12" ht="15" customHeight="1">
      <c r="A40" s="7"/>
      <c r="B40" s="7"/>
      <c r="C40" s="7"/>
      <c r="D40" s="7"/>
      <c r="E40" s="7"/>
      <c r="F40" s="7"/>
      <c r="G40" s="8"/>
      <c r="H40" s="7"/>
      <c r="I40" s="7"/>
      <c r="J40" s="7"/>
      <c r="K40" s="8"/>
      <c r="L40" s="7"/>
    </row>
    <row r="41" spans="1:12" ht="15" customHeight="1">
      <c r="A41" s="5"/>
      <c r="B41" s="5"/>
      <c r="C41" s="5"/>
      <c r="D41" s="5"/>
      <c r="E41" s="5"/>
      <c r="F41" s="5"/>
      <c r="G41" s="6"/>
      <c r="H41" s="5"/>
      <c r="I41" s="5"/>
      <c r="J41" s="5"/>
      <c r="K41" s="6"/>
      <c r="L41" s="5"/>
    </row>
    <row r="42" spans="1:12" ht="15" customHeight="1">
      <c r="A42" s="7"/>
      <c r="B42" s="7"/>
      <c r="C42" s="7"/>
      <c r="D42" s="7"/>
      <c r="E42" s="7"/>
      <c r="F42" s="7"/>
      <c r="G42" s="8"/>
      <c r="H42" s="7"/>
      <c r="I42" s="7"/>
      <c r="J42" s="7"/>
      <c r="K42" s="8"/>
      <c r="L42" s="7"/>
    </row>
    <row r="43" spans="1:12" ht="15" customHeight="1">
      <c r="A43" s="5"/>
      <c r="B43" s="5"/>
      <c r="C43" s="5"/>
      <c r="D43" s="5"/>
      <c r="E43" s="5"/>
      <c r="F43" s="5"/>
      <c r="G43" s="6"/>
      <c r="H43" s="5"/>
      <c r="I43" s="5"/>
      <c r="J43" s="5"/>
      <c r="K43" s="6"/>
      <c r="L43" s="5"/>
    </row>
    <row r="44" spans="1:12" ht="15" customHeight="1">
      <c r="A44" s="7"/>
      <c r="B44" s="7"/>
      <c r="C44" s="7"/>
      <c r="D44" s="7"/>
      <c r="E44" s="7"/>
      <c r="F44" s="7"/>
      <c r="G44" s="8"/>
      <c r="H44" s="7"/>
      <c r="I44" s="7"/>
      <c r="J44" s="7"/>
      <c r="K44" s="8"/>
      <c r="L44" s="7"/>
    </row>
    <row r="45" spans="1:12" ht="15" customHeight="1">
      <c r="A45" s="5"/>
      <c r="B45" s="5"/>
      <c r="C45" s="5"/>
      <c r="D45" s="5"/>
      <c r="E45" s="5"/>
      <c r="F45" s="5"/>
      <c r="G45" s="6"/>
      <c r="H45" s="5"/>
      <c r="I45" s="5"/>
      <c r="J45" s="5"/>
      <c r="K45" s="6"/>
      <c r="L45" s="5"/>
    </row>
    <row r="46" spans="1:12" ht="15" customHeight="1">
      <c r="A46" s="7"/>
      <c r="B46" s="7"/>
      <c r="C46" s="7"/>
      <c r="D46" s="7"/>
      <c r="E46" s="7"/>
      <c r="F46" s="7"/>
      <c r="G46" s="8"/>
      <c r="H46" s="7"/>
      <c r="I46" s="7"/>
      <c r="J46" s="7"/>
      <c r="K46" s="8"/>
      <c r="L46" s="7"/>
    </row>
    <row r="47" spans="1:12" ht="15" customHeight="1">
      <c r="A47" s="5"/>
      <c r="B47" s="5"/>
      <c r="C47" s="5"/>
      <c r="D47" s="5"/>
      <c r="E47" s="5"/>
      <c r="F47" s="5"/>
      <c r="G47" s="6"/>
      <c r="H47" s="5"/>
      <c r="I47" s="5"/>
      <c r="J47" s="5"/>
      <c r="K47" s="6"/>
      <c r="L47" s="5"/>
    </row>
    <row r="48" spans="1:12" ht="15" customHeight="1">
      <c r="A48" s="7"/>
      <c r="B48" s="7"/>
      <c r="C48" s="7"/>
      <c r="D48" s="7"/>
      <c r="E48" s="7"/>
      <c r="F48" s="7"/>
      <c r="G48" s="8"/>
      <c r="H48" s="7"/>
      <c r="I48" s="7"/>
      <c r="J48" s="7"/>
      <c r="K48" s="8"/>
      <c r="L48" s="7"/>
    </row>
    <row r="49" spans="1:12" ht="15" customHeight="1">
      <c r="A49" s="5"/>
      <c r="B49" s="5"/>
      <c r="C49" s="5"/>
      <c r="D49" s="5"/>
      <c r="E49" s="5"/>
      <c r="F49" s="5"/>
      <c r="G49" s="6"/>
      <c r="H49" s="5"/>
      <c r="I49" s="5"/>
      <c r="J49" s="5"/>
      <c r="K49" s="6"/>
      <c r="L49" s="5"/>
    </row>
    <row r="50" spans="1:12" ht="15" customHeight="1">
      <c r="A50" s="7"/>
      <c r="B50" s="7"/>
      <c r="C50" s="7"/>
      <c r="D50" s="7"/>
      <c r="E50" s="7"/>
      <c r="F50" s="7"/>
      <c r="G50" s="8"/>
      <c r="H50" s="7"/>
      <c r="I50" s="7"/>
      <c r="J50" s="7"/>
      <c r="K50" s="8"/>
      <c r="L50" s="7"/>
    </row>
    <row r="51" spans="1:12" ht="15" customHeight="1">
      <c r="A51" s="5"/>
      <c r="B51" s="5"/>
      <c r="C51" s="5"/>
      <c r="D51" s="5"/>
      <c r="E51" s="5"/>
      <c r="F51" s="5"/>
      <c r="G51" s="6"/>
      <c r="H51" s="5"/>
      <c r="I51" s="5"/>
      <c r="J51" s="5"/>
      <c r="K51" s="6"/>
      <c r="L51" s="5"/>
    </row>
    <row r="52" spans="1:12" ht="15" customHeight="1">
      <c r="A52" s="7"/>
      <c r="B52" s="7"/>
      <c r="C52" s="7"/>
      <c r="D52" s="7"/>
      <c r="E52" s="7"/>
      <c r="F52" s="7"/>
      <c r="G52" s="8"/>
      <c r="H52" s="7"/>
      <c r="I52" s="7"/>
      <c r="J52" s="7"/>
      <c r="K52" s="8"/>
      <c r="L52" s="7"/>
    </row>
    <row r="53" spans="1:12" ht="15" customHeight="1">
      <c r="A53" s="5"/>
      <c r="B53" s="5"/>
      <c r="C53" s="5"/>
      <c r="D53" s="5"/>
      <c r="E53" s="5"/>
      <c r="F53" s="5"/>
      <c r="G53" s="6"/>
      <c r="H53" s="5"/>
      <c r="I53" s="5"/>
      <c r="J53" s="5"/>
      <c r="K53" s="6"/>
      <c r="L53" s="5"/>
    </row>
    <row r="54" spans="1:12" ht="15" customHeight="1">
      <c r="A54" s="7"/>
      <c r="B54" s="7"/>
      <c r="C54" s="7"/>
      <c r="D54" s="7"/>
      <c r="E54" s="7"/>
      <c r="F54" s="7"/>
      <c r="G54" s="8"/>
      <c r="H54" s="7"/>
      <c r="I54" s="7"/>
      <c r="J54" s="7"/>
      <c r="K54" s="8"/>
      <c r="L54" s="7"/>
    </row>
    <row r="55" spans="1:12" ht="15" customHeight="1">
      <c r="A55" s="5"/>
      <c r="B55" s="5"/>
      <c r="C55" s="5"/>
      <c r="D55" s="5"/>
      <c r="E55" s="5"/>
      <c r="F55" s="5"/>
      <c r="G55" s="6"/>
      <c r="H55" s="5"/>
      <c r="I55" s="5"/>
      <c r="J55" s="5"/>
      <c r="K55" s="6"/>
      <c r="L55" s="5"/>
    </row>
    <row r="56" spans="1:12" ht="15" customHeight="1">
      <c r="A56" s="7"/>
      <c r="B56" s="7"/>
      <c r="C56" s="7"/>
      <c r="D56" s="7"/>
      <c r="E56" s="7"/>
      <c r="F56" s="7"/>
      <c r="G56" s="8"/>
      <c r="H56" s="7"/>
      <c r="I56" s="7"/>
      <c r="J56" s="7"/>
      <c r="K56" s="8"/>
      <c r="L56" s="7"/>
    </row>
    <row r="57" spans="1:12" ht="15" customHeight="1">
      <c r="A57" s="5"/>
      <c r="B57" s="5"/>
      <c r="C57" s="5"/>
      <c r="D57" s="5"/>
      <c r="E57" s="5"/>
      <c r="F57" s="5"/>
      <c r="G57" s="6"/>
      <c r="H57" s="5"/>
      <c r="I57" s="5"/>
      <c r="J57" s="5"/>
      <c r="K57" s="6"/>
      <c r="L57" s="5"/>
    </row>
    <row r="58" spans="1:12" ht="15" customHeight="1">
      <c r="A58" s="7"/>
      <c r="B58" s="7"/>
      <c r="C58" s="7"/>
      <c r="D58" s="7"/>
      <c r="E58" s="7"/>
      <c r="F58" s="7"/>
      <c r="G58" s="8"/>
      <c r="H58" s="7"/>
      <c r="I58" s="7"/>
      <c r="J58" s="7"/>
      <c r="K58" s="8"/>
      <c r="L58" s="7"/>
    </row>
    <row r="59" spans="1:12" ht="15" customHeight="1">
      <c r="A59" s="5"/>
      <c r="B59" s="5"/>
      <c r="C59" s="5"/>
      <c r="D59" s="5"/>
      <c r="E59" s="5"/>
      <c r="F59" s="5"/>
      <c r="G59" s="6"/>
      <c r="H59" s="5"/>
      <c r="I59" s="5"/>
      <c r="J59" s="5"/>
      <c r="K59" s="6"/>
      <c r="L59" s="5"/>
    </row>
    <row r="60" spans="1:12" ht="15" customHeight="1">
      <c r="A60" s="7"/>
      <c r="B60" s="7"/>
      <c r="C60" s="7"/>
      <c r="D60" s="7"/>
      <c r="E60" s="7"/>
      <c r="F60" s="7"/>
      <c r="G60" s="8"/>
      <c r="H60" s="7"/>
      <c r="I60" s="7"/>
      <c r="J60" s="7"/>
      <c r="K60" s="8"/>
      <c r="L60" s="7"/>
    </row>
    <row r="61" spans="1:12" ht="15" customHeight="1">
      <c r="A61" s="5"/>
      <c r="B61" s="5"/>
      <c r="C61" s="5"/>
      <c r="D61" s="5"/>
      <c r="E61" s="5"/>
      <c r="F61" s="5"/>
      <c r="G61" s="6"/>
      <c r="H61" s="5"/>
      <c r="I61" s="5"/>
      <c r="J61" s="5"/>
      <c r="K61" s="6"/>
      <c r="L61" s="5"/>
    </row>
    <row r="62" spans="1:12" ht="15" customHeight="1">
      <c r="A62" s="7"/>
      <c r="B62" s="7"/>
      <c r="C62" s="7"/>
      <c r="D62" s="7"/>
      <c r="E62" s="7"/>
      <c r="F62" s="7"/>
      <c r="G62" s="8"/>
      <c r="H62" s="7"/>
      <c r="I62" s="7"/>
      <c r="J62" s="7"/>
      <c r="K62" s="8"/>
      <c r="L62" s="7"/>
    </row>
    <row r="63" spans="1:12" ht="15" customHeight="1"/>
    <row r="64" spans="1:12" ht="15" customHeight="1"/>
  </sheetData>
  <autoFilter ref="A4:L64" xr:uid="{00000000-0009-0000-0000-000006000000}"/>
  <mergeCells count="2">
    <mergeCell ref="A2:L2"/>
    <mergeCell ref="A1:L1"/>
  </mergeCells>
  <phoneticPr fontId="16" type="noConversion"/>
  <dataValidations count="2">
    <dataValidation type="list" allowBlank="1" errorTitle="填写值无效" error="请从下拉列表中选择标准值。" promptTitle="填写提示" prompt="请选择标准值。" sqref="D5:D64" xr:uid="{00000000-0002-0000-0600-000000000000}">
      <formula1>"未确认,讨论中,已确认,暂缓,取消"</formula1>
    </dataValidation>
    <dataValidation type="list" allowBlank="1" errorTitle="选项无效" error="请从下拉选项中选择。" promptTitle="填写提示" prompt="请选择标准值。" sqref="E5:E64" xr:uid="{00000000-0002-0000-0600-000001000000}">
      <formula1>Opt_管理确认人</formula1>
    </dataValidation>
  </dataValidations>
  <pageMargins left="0.25" right="0.25" top="0.45" bottom="0.45" header="0.5" footer="0.5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7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defaultColWidth="9" defaultRowHeight="14.4"/>
  <cols>
    <col min="1" max="1" width="20" customWidth="1"/>
    <col min="2" max="2" width="34" customWidth="1"/>
    <col min="3" max="3" width="48" customWidth="1"/>
    <col min="4" max="4" width="20" customWidth="1"/>
    <col min="5" max="5" width="18" customWidth="1"/>
  </cols>
  <sheetData>
    <row r="1" spans="1:5" ht="34.049999999999997" customHeight="1">
      <c r="A1" s="44" t="s">
        <v>690</v>
      </c>
      <c r="B1" s="42"/>
      <c r="C1" s="42"/>
      <c r="D1" s="42"/>
      <c r="E1" s="42"/>
    </row>
    <row r="2" spans="1:5" ht="34.049999999999997" customHeight="1">
      <c r="A2" s="41" t="s">
        <v>691</v>
      </c>
      <c r="B2" s="42"/>
      <c r="C2" s="42"/>
      <c r="D2" s="42"/>
      <c r="E2" s="42"/>
    </row>
    <row r="4" spans="1:5" ht="40.049999999999997" customHeight="1">
      <c r="A4" s="2" t="s">
        <v>692</v>
      </c>
      <c r="B4" s="2" t="s">
        <v>693</v>
      </c>
      <c r="C4" s="2" t="s">
        <v>694</v>
      </c>
      <c r="D4" s="2" t="s">
        <v>695</v>
      </c>
      <c r="E4" s="2" t="s">
        <v>696</v>
      </c>
    </row>
    <row r="5" spans="1:5" ht="15" customHeight="1">
      <c r="A5" s="3" t="s">
        <v>202</v>
      </c>
      <c r="B5" s="3" t="s">
        <v>697</v>
      </c>
      <c r="C5" s="3" t="s">
        <v>698</v>
      </c>
      <c r="D5" s="3" t="s">
        <v>699</v>
      </c>
      <c r="E5" s="3" t="s">
        <v>700</v>
      </c>
    </row>
    <row r="6" spans="1:5" ht="15" customHeight="1">
      <c r="A6" s="4" t="s">
        <v>701</v>
      </c>
      <c r="B6" s="4" t="s">
        <v>702</v>
      </c>
      <c r="C6" s="4" t="s">
        <v>703</v>
      </c>
      <c r="D6" s="4" t="s">
        <v>704</v>
      </c>
      <c r="E6" s="4" t="s">
        <v>700</v>
      </c>
    </row>
    <row r="7" spans="1:5" ht="15" customHeight="1">
      <c r="A7" s="3" t="s">
        <v>705</v>
      </c>
      <c r="B7" s="3" t="s">
        <v>706</v>
      </c>
      <c r="C7" s="3" t="s">
        <v>707</v>
      </c>
      <c r="D7" s="3" t="s">
        <v>708</v>
      </c>
      <c r="E7" s="3" t="s">
        <v>700</v>
      </c>
    </row>
    <row r="8" spans="1:5" ht="15" customHeight="1">
      <c r="A8" s="4" t="s">
        <v>709</v>
      </c>
      <c r="B8" s="4" t="s">
        <v>710</v>
      </c>
      <c r="C8" s="4" t="s">
        <v>711</v>
      </c>
      <c r="D8" s="4" t="s">
        <v>699</v>
      </c>
      <c r="E8" s="4" t="s">
        <v>712</v>
      </c>
    </row>
    <row r="9" spans="1:5" ht="15" customHeight="1">
      <c r="A9" s="3" t="s">
        <v>486</v>
      </c>
      <c r="B9" s="3" t="s">
        <v>713</v>
      </c>
      <c r="C9" s="3" t="s">
        <v>714</v>
      </c>
      <c r="D9" s="3" t="s">
        <v>486</v>
      </c>
      <c r="E9" s="3" t="s">
        <v>700</v>
      </c>
    </row>
    <row r="10" spans="1:5" ht="15" customHeight="1">
      <c r="A10" s="4" t="s">
        <v>487</v>
      </c>
      <c r="B10" s="4" t="s">
        <v>715</v>
      </c>
      <c r="C10" s="4" t="s">
        <v>716</v>
      </c>
      <c r="D10" s="4" t="s">
        <v>487</v>
      </c>
      <c r="E10" s="4" t="s">
        <v>700</v>
      </c>
    </row>
    <row r="11" spans="1:5" ht="15" customHeight="1">
      <c r="A11" s="3" t="s">
        <v>505</v>
      </c>
      <c r="B11" s="3" t="s">
        <v>717</v>
      </c>
      <c r="C11" s="3" t="s">
        <v>718</v>
      </c>
      <c r="D11" s="3" t="s">
        <v>505</v>
      </c>
      <c r="E11" s="3" t="s">
        <v>719</v>
      </c>
    </row>
    <row r="12" spans="1:5" ht="15" customHeight="1">
      <c r="A12" s="4" t="s">
        <v>488</v>
      </c>
      <c r="B12" s="4" t="s">
        <v>720</v>
      </c>
      <c r="C12" s="4" t="s">
        <v>721</v>
      </c>
      <c r="D12" s="4" t="s">
        <v>488</v>
      </c>
      <c r="E12" s="4" t="s">
        <v>719</v>
      </c>
    </row>
    <row r="13" spans="1:5" ht="15" customHeight="1">
      <c r="A13" s="3" t="s">
        <v>504</v>
      </c>
      <c r="B13" s="3" t="s">
        <v>722</v>
      </c>
      <c r="C13" s="3" t="s">
        <v>723</v>
      </c>
      <c r="D13" s="3" t="s">
        <v>504</v>
      </c>
      <c r="E13" s="3" t="s">
        <v>719</v>
      </c>
    </row>
    <row r="15" spans="1:5">
      <c r="A15" t="s">
        <v>724</v>
      </c>
    </row>
    <row r="16" spans="1:5">
      <c r="A16" t="s">
        <v>725</v>
      </c>
      <c r="B16" t="s">
        <v>726</v>
      </c>
      <c r="C16" t="s">
        <v>727</v>
      </c>
      <c r="D16" t="s">
        <v>725</v>
      </c>
      <c r="E16" t="s">
        <v>700</v>
      </c>
    </row>
    <row r="17" spans="1:5">
      <c r="A17" t="s">
        <v>728</v>
      </c>
      <c r="B17" t="s">
        <v>729</v>
      </c>
      <c r="C17" t="s">
        <v>730</v>
      </c>
      <c r="D17" t="s">
        <v>728</v>
      </c>
      <c r="E17" t="s">
        <v>700</v>
      </c>
    </row>
  </sheetData>
  <mergeCells count="2">
    <mergeCell ref="A2:E2"/>
    <mergeCell ref="A1:E1"/>
  </mergeCells>
  <phoneticPr fontId="16" type="noConversion"/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7"/>
  <sheetViews>
    <sheetView workbookViewId="0"/>
  </sheetViews>
  <sheetFormatPr defaultColWidth="9" defaultRowHeight="14.4"/>
  <cols>
    <col min="1" max="14" width="14" customWidth="1"/>
  </cols>
  <sheetData>
    <row r="1" spans="1:14">
      <c r="A1" s="1" t="s">
        <v>731</v>
      </c>
      <c r="B1" s="1" t="s">
        <v>209</v>
      </c>
      <c r="C1" s="1" t="s">
        <v>732</v>
      </c>
      <c r="D1" s="1" t="s">
        <v>733</v>
      </c>
      <c r="E1" s="1" t="s">
        <v>8</v>
      </c>
      <c r="F1" s="1" t="s">
        <v>12</v>
      </c>
      <c r="G1" s="1" t="s">
        <v>305</v>
      </c>
      <c r="H1" s="1" t="s">
        <v>470</v>
      </c>
      <c r="I1" s="1" t="s">
        <v>734</v>
      </c>
      <c r="J1" s="1" t="s">
        <v>735</v>
      </c>
      <c r="K1" s="1" t="s">
        <v>736</v>
      </c>
      <c r="L1" s="1" t="s">
        <v>737</v>
      </c>
      <c r="M1" s="1" t="s">
        <v>205</v>
      </c>
      <c r="N1" s="1" t="s">
        <v>738</v>
      </c>
    </row>
    <row r="2" spans="1:14">
      <c r="A2" t="s">
        <v>313</v>
      </c>
      <c r="B2" t="s">
        <v>211</v>
      </c>
      <c r="C2" t="s">
        <v>210</v>
      </c>
      <c r="D2" t="s">
        <v>700</v>
      </c>
      <c r="E2" t="s">
        <v>64</v>
      </c>
      <c r="F2" t="s">
        <v>24</v>
      </c>
      <c r="G2" t="s">
        <v>24</v>
      </c>
      <c r="H2" t="s">
        <v>481</v>
      </c>
      <c r="I2" t="s">
        <v>486</v>
      </c>
      <c r="J2" t="s">
        <v>687</v>
      </c>
      <c r="K2" t="s">
        <v>83</v>
      </c>
      <c r="L2" t="s">
        <v>63</v>
      </c>
      <c r="M2" t="s">
        <v>69</v>
      </c>
      <c r="N2" t="s">
        <v>69</v>
      </c>
    </row>
    <row r="3" spans="1:14">
      <c r="A3" t="s">
        <v>326</v>
      </c>
      <c r="B3" t="s">
        <v>298</v>
      </c>
      <c r="C3" t="s">
        <v>298</v>
      </c>
      <c r="D3" t="s">
        <v>739</v>
      </c>
      <c r="E3" t="s">
        <v>74</v>
      </c>
      <c r="F3" t="s">
        <v>740</v>
      </c>
      <c r="G3" t="s">
        <v>740</v>
      </c>
      <c r="H3" t="s">
        <v>492</v>
      </c>
      <c r="I3" t="s">
        <v>487</v>
      </c>
      <c r="J3" t="s">
        <v>741</v>
      </c>
      <c r="K3" t="s">
        <v>73</v>
      </c>
      <c r="L3" t="s">
        <v>83</v>
      </c>
      <c r="M3" t="s">
        <v>79</v>
      </c>
      <c r="N3" t="s">
        <v>79</v>
      </c>
    </row>
    <row r="4" spans="1:14">
      <c r="A4" t="s">
        <v>393</v>
      </c>
      <c r="B4" t="s">
        <v>742</v>
      </c>
      <c r="C4" t="s">
        <v>743</v>
      </c>
      <c r="D4" t="s">
        <v>322</v>
      </c>
      <c r="E4" t="s">
        <v>105</v>
      </c>
      <c r="F4" t="s">
        <v>744</v>
      </c>
      <c r="G4" t="s">
        <v>744</v>
      </c>
      <c r="H4" t="s">
        <v>499</v>
      </c>
      <c r="I4" t="s">
        <v>505</v>
      </c>
      <c r="J4" t="s">
        <v>654</v>
      </c>
      <c r="K4" t="s">
        <v>728</v>
      </c>
      <c r="L4" t="s">
        <v>73</v>
      </c>
      <c r="M4" t="s">
        <v>116</v>
      </c>
      <c r="N4" t="s">
        <v>313</v>
      </c>
    </row>
    <row r="5" spans="1:14">
      <c r="A5" t="s">
        <v>399</v>
      </c>
      <c r="B5" t="s">
        <v>745</v>
      </c>
      <c r="C5" t="s">
        <v>746</v>
      </c>
      <c r="E5" t="s">
        <v>20</v>
      </c>
      <c r="F5" t="s">
        <v>747</v>
      </c>
      <c r="G5" t="s">
        <v>747</v>
      </c>
      <c r="H5" t="s">
        <v>748</v>
      </c>
      <c r="I5" t="s">
        <v>488</v>
      </c>
      <c r="J5" t="s">
        <v>749</v>
      </c>
      <c r="K5" t="s">
        <v>99</v>
      </c>
      <c r="L5" t="s">
        <v>728</v>
      </c>
      <c r="M5" t="s">
        <v>110</v>
      </c>
      <c r="N5" t="s">
        <v>116</v>
      </c>
    </row>
    <row r="6" spans="1:14">
      <c r="A6" t="s">
        <v>368</v>
      </c>
      <c r="B6" t="s">
        <v>750</v>
      </c>
      <c r="C6" t="s">
        <v>322</v>
      </c>
      <c r="E6" t="s">
        <v>751</v>
      </c>
      <c r="F6" t="s">
        <v>322</v>
      </c>
      <c r="G6" t="s">
        <v>322</v>
      </c>
      <c r="H6" t="s">
        <v>508</v>
      </c>
      <c r="I6" t="s">
        <v>504</v>
      </c>
      <c r="J6" t="s">
        <v>752</v>
      </c>
      <c r="K6" t="s">
        <v>94</v>
      </c>
      <c r="L6" t="s">
        <v>99</v>
      </c>
      <c r="M6" t="s">
        <v>753</v>
      </c>
      <c r="N6" t="s">
        <v>110</v>
      </c>
    </row>
    <row r="7" spans="1:14">
      <c r="A7" t="s">
        <v>356</v>
      </c>
      <c r="B7" t="s">
        <v>322</v>
      </c>
      <c r="E7" t="s">
        <v>754</v>
      </c>
      <c r="H7" t="s">
        <v>755</v>
      </c>
      <c r="K7" t="s">
        <v>653</v>
      </c>
      <c r="L7" t="s">
        <v>94</v>
      </c>
      <c r="M7" t="s">
        <v>55</v>
      </c>
      <c r="N7" t="s">
        <v>753</v>
      </c>
    </row>
    <row r="8" spans="1:14">
      <c r="A8" t="s">
        <v>322</v>
      </c>
      <c r="E8" t="s">
        <v>756</v>
      </c>
      <c r="H8" t="s">
        <v>515</v>
      </c>
      <c r="K8" t="s">
        <v>322</v>
      </c>
      <c r="L8" t="s">
        <v>119</v>
      </c>
      <c r="M8" t="s">
        <v>245</v>
      </c>
      <c r="N8" t="s">
        <v>55</v>
      </c>
    </row>
    <row r="9" spans="1:14">
      <c r="H9" t="s">
        <v>757</v>
      </c>
      <c r="L9" t="s">
        <v>113</v>
      </c>
      <c r="M9" t="s">
        <v>758</v>
      </c>
      <c r="N9" t="s">
        <v>245</v>
      </c>
    </row>
    <row r="10" spans="1:14">
      <c r="H10" t="s">
        <v>759</v>
      </c>
      <c r="L10" t="s">
        <v>126</v>
      </c>
      <c r="M10" t="s">
        <v>760</v>
      </c>
      <c r="N10" t="s">
        <v>322</v>
      </c>
    </row>
    <row r="11" spans="1:14">
      <c r="H11" t="s">
        <v>761</v>
      </c>
      <c r="L11" t="s">
        <v>762</v>
      </c>
      <c r="M11" t="s">
        <v>762</v>
      </c>
    </row>
    <row r="12" spans="1:14">
      <c r="H12" t="s">
        <v>763</v>
      </c>
      <c r="L12" t="s">
        <v>764</v>
      </c>
      <c r="M12" t="s">
        <v>764</v>
      </c>
    </row>
    <row r="13" spans="1:14">
      <c r="H13" t="s">
        <v>534</v>
      </c>
      <c r="L13" t="s">
        <v>42</v>
      </c>
      <c r="M13" t="s">
        <v>765</v>
      </c>
    </row>
    <row r="14" spans="1:14">
      <c r="H14" t="s">
        <v>756</v>
      </c>
      <c r="L14" t="s">
        <v>35</v>
      </c>
      <c r="M14" t="s">
        <v>279</v>
      </c>
    </row>
    <row r="15" spans="1:14">
      <c r="L15" t="s">
        <v>19</v>
      </c>
      <c r="M15" t="s">
        <v>766</v>
      </c>
    </row>
    <row r="16" spans="1:14">
      <c r="L16" t="s">
        <v>58</v>
      </c>
      <c r="M16" t="s">
        <v>767</v>
      </c>
    </row>
    <row r="17" spans="12:13">
      <c r="L17" t="s">
        <v>49</v>
      </c>
      <c r="M17" t="s">
        <v>768</v>
      </c>
    </row>
    <row r="18" spans="12:13">
      <c r="L18" t="s">
        <v>443</v>
      </c>
      <c r="M18" t="s">
        <v>769</v>
      </c>
    </row>
    <row r="19" spans="12:13">
      <c r="L19" t="s">
        <v>436</v>
      </c>
      <c r="M19" t="s">
        <v>770</v>
      </c>
    </row>
    <row r="20" spans="12:13">
      <c r="L20" t="s">
        <v>322</v>
      </c>
      <c r="M20" t="s">
        <v>771</v>
      </c>
    </row>
    <row r="21" spans="12:13">
      <c r="M21" t="s">
        <v>772</v>
      </c>
    </row>
    <row r="22" spans="12:13">
      <c r="M22" t="s">
        <v>773</v>
      </c>
    </row>
    <row r="23" spans="12:13">
      <c r="M23" t="s">
        <v>774</v>
      </c>
    </row>
    <row r="24" spans="12:13">
      <c r="M24" t="s">
        <v>229</v>
      </c>
    </row>
    <row r="25" spans="12:13">
      <c r="M25" t="s">
        <v>534</v>
      </c>
    </row>
    <row r="26" spans="12:13">
      <c r="M26" t="s">
        <v>775</v>
      </c>
    </row>
    <row r="27" spans="12:13">
      <c r="M27" t="s">
        <v>322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14</vt:i4>
      </vt:variant>
    </vt:vector>
  </HeadingPairs>
  <TitlesOfParts>
    <vt:vector size="23" baseType="lpstr">
      <vt:lpstr>00_总览与说明</vt:lpstr>
      <vt:lpstr>01_组织架构图</vt:lpstr>
      <vt:lpstr>01_员工名单</vt:lpstr>
      <vt:lpstr>02_组织单元</vt:lpstr>
      <vt:lpstr>03_岗位字典</vt:lpstr>
      <vt:lpstr>04_RACI职责矩阵</vt:lpstr>
      <vt:lpstr>05_确认清单</vt:lpstr>
      <vt:lpstr>06_字段字典</vt:lpstr>
      <vt:lpstr>99_选项字典</vt:lpstr>
      <vt:lpstr>Opt_RACI</vt:lpstr>
      <vt:lpstr>Opt_部门名称</vt:lpstr>
      <vt:lpstr>Opt_岗位名称</vt:lpstr>
      <vt:lpstr>Opt_岗位状态</vt:lpstr>
      <vt:lpstr>Opt_关键岗位</vt:lpstr>
      <vt:lpstr>Opt_管理确认人</vt:lpstr>
      <vt:lpstr>Opt_管理域</vt:lpstr>
      <vt:lpstr>Opt_确认状态</vt:lpstr>
      <vt:lpstr>Opt_人员状态</vt:lpstr>
      <vt:lpstr>Opt_任职性质</vt:lpstr>
      <vt:lpstr>Opt_组织层级</vt:lpstr>
      <vt:lpstr>Opt_组织单元</vt:lpstr>
      <vt:lpstr>Opt_组织类型</vt:lpstr>
      <vt:lpstr>Opt_组织状态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鑫犇电子有限公司组织架构与职责矩阵模板（已填组织架构）</dc:title>
  <dc:subject>根据组织机构.xlsx填入组织单元和待确认事项</dc:subject>
  <dc:creator>Hermes</dc:creator>
  <cp:lastModifiedBy>minghan wang</cp:lastModifiedBy>
  <dcterms:created xsi:type="dcterms:W3CDTF">2026-09-30T08:23:00Z</dcterms:created>
  <dcterms:modified xsi:type="dcterms:W3CDTF">2026-10-05T16:00:33Z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39F8A4C343474E6C8D75B823A99168FA_13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