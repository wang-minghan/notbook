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纪要" sheetId="1" state="visible" r:id="rId1"/>
    <sheet name="行动事项跟进" sheetId="2" state="visible" r:id="rId2"/>
    <sheet name="总经理一对一约谈" sheetId="3" state="visible" r:id="rId3"/>
    <sheet name="责任人识别" sheetId="4" state="visible" r:id="rId4"/>
    <sheet name="跟进汇总" sheetId="5" state="visible" r:id="rId5"/>
    <sheet name="模板完善建议" sheetId="6" state="visible" r:id="rId6"/>
  </sheets>
  <definedNames>
    <definedName name="_xlnm._FilterDatabase" localSheetId="0" hidden="1">'会议纪要'!$A$1:$J$2</definedName>
    <definedName name="_xlnm._FilterDatabase" localSheetId="1" hidden="1">'行动事项跟进'!$A$1:$N$9</definedName>
    <definedName name="_xlnm._FilterDatabase" localSheetId="2" hidden="1">'总经理一对一约谈'!$A$1:$M$9</definedName>
    <definedName name="_xlnm._FilterDatabase" localSheetId="3" hidden="1">'责任人识别'!$A$1:$H$9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Hermes</author>
  </authors>
  <commentList>
    <comment ref="I2" authorId="0" shapeId="0">
      <text>
        <t>来源文件已由Hermes提取文字；正式归档时建议同时保留原PDF。</t>
      </text>
    </comment>
  </commentList>
</comments>
</file>

<file path=xl/tables/table1.xml><?xml version="1.0" encoding="utf-8"?>
<table xmlns="http://schemas.openxmlformats.org/spreadsheetml/2006/main" id="1" name="MeetingActions" displayName="MeetingActions" ref="A1:N9" headerRowCount="1">
  <autoFilter ref="A1:N9"/>
  <tableColumns count="14">
    <tableColumn id="1" name="事项编号"/>
    <tableColumn id="2" name="行动事项/会议决定"/>
    <tableColumn id="3" name="问题维度"/>
    <tableColumn id="4" name="涉及部门/组织单元"/>
    <tableColumn id="5" name="会议明确执行人"/>
    <tableColumn id="6" name="架构对应负责人/结果责任人"/>
    <tableColumn id="7" name="责任识别依据"/>
    <tableColumn id="8" name="协同部门/人员"/>
    <tableColumn id="9" name="截止/周期"/>
    <tableColumn id="10" name="验收标准/完成证据"/>
    <tableColumn id="11" name="当前状态"/>
    <tableColumn id="12" name="总经理跟进方式"/>
    <tableColumn id="13" name="一对一约谈编号"/>
    <tableColumn id="14" name="备注/待确认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6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16" customWidth="1" min="10" max="10"/>
  </cols>
  <sheetData>
    <row r="1" ht="38" customHeight="1">
      <c r="A1" s="1" t="inlineStr">
        <is>
          <t>会议编号</t>
        </is>
      </c>
      <c r="B1" s="1" t="inlineStr">
        <is>
          <t>会议日期</t>
        </is>
      </c>
      <c r="C1" s="1" t="inlineStr">
        <is>
          <t>会议名称</t>
        </is>
      </c>
      <c r="D1" s="1" t="inlineStr">
        <is>
          <t>会议时间</t>
        </is>
      </c>
      <c r="E1" s="1" t="inlineStr">
        <is>
          <t>会议目的/背景</t>
        </is>
      </c>
      <c r="F1" s="1" t="inlineStr">
        <is>
          <t>核心议题</t>
        </is>
      </c>
      <c r="G1" s="1" t="inlineStr">
        <is>
          <t>会议共识/原则</t>
        </is>
      </c>
      <c r="H1" s="1" t="inlineStr">
        <is>
          <t>争议与待决问题</t>
        </is>
      </c>
      <c r="I1" s="1" t="inlineStr">
        <is>
          <t>会议记录来源</t>
        </is>
      </c>
      <c r="J1" s="1" t="inlineStr">
        <is>
          <t>主管签名/确认</t>
        </is>
      </c>
    </row>
    <row r="2">
      <c r="A2" s="2" t="inlineStr">
        <is>
          <t>MTG-20261026</t>
        </is>
      </c>
      <c r="B2" s="2" t="inlineStr">
        <is>
          <t>2026-10-26</t>
        </is>
      </c>
      <c r="C2" s="2" t="inlineStr">
        <is>
          <t>新厂搬迁安全会议</t>
        </is>
      </c>
      <c r="D2" s="2" t="inlineStr">
        <is>
          <t>18:28-19:42</t>
        </is>
      </c>
      <c r="E2" s="2" t="inlineStr">
        <is>
          <t>新厂搬迁后首次综合会议，围绕安全生产、团队融合、降本增效和管理提升部署后续工作。</t>
        </is>
      </c>
      <c r="F2" s="2" t="inlineStr">
        <is>
          <t>安全生产；团队融合；设备电气；新员工培训；仓库台账；后勤环境；会议制度；办公设施；团建福利；降本增效</t>
        </is>
      </c>
      <c r="G2" s="2" t="inlineStr">
        <is>
          <t>安全第一；新员工安全培训后才能上岗；两个公司互相支持；公司向正规化管理转型；降本增效、提质增效；发现问题同时提出方案。</t>
        </is>
      </c>
      <c r="H2" s="2" t="inlineStr">
        <is>
          <t>分餐制适应；搬厂后抱怨与心态；招聘困难与团队建设；楼梯间/宿舍卫生归属；部分整改事项未明确期限和责任人。</t>
        </is>
      </c>
      <c r="I2" s="2" t="inlineStr">
        <is>
          <t>新厂搬迁安全会议部署落实工作_AI 摘要.pdf</t>
        </is>
      </c>
      <c r="J2" s="2" t="inlineStr">
        <is>
          <t>待签名</t>
        </is>
      </c>
    </row>
  </sheetData>
  <autoFilter ref="A1:J2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28" customWidth="1" min="4" max="4"/>
    <col width="24" customWidth="1" min="5" max="5"/>
    <col width="26" customWidth="1" min="6" max="6"/>
    <col width="34" customWidth="1" min="7" max="7"/>
    <col width="26" customWidth="1" min="8" max="8"/>
    <col width="20" customWidth="1" min="9" max="9"/>
    <col width="36" customWidth="1" min="10" max="10"/>
    <col width="14" customWidth="1" min="11" max="11"/>
    <col width="30" customWidth="1" min="12" max="12"/>
    <col width="14" customWidth="1" min="13" max="13"/>
    <col width="30" customWidth="1" min="14" max="14"/>
  </cols>
  <sheetData>
    <row r="1" ht="38" customHeight="1">
      <c r="A1" s="1" t="inlineStr">
        <is>
          <t>事项编号</t>
        </is>
      </c>
      <c r="B1" s="1" t="inlineStr">
        <is>
          <t>行动事项/会议决定</t>
        </is>
      </c>
      <c r="C1" s="1" t="inlineStr">
        <is>
          <t>问题维度</t>
        </is>
      </c>
      <c r="D1" s="1" t="inlineStr">
        <is>
          <t>涉及部门/组织单元</t>
        </is>
      </c>
      <c r="E1" s="1" t="inlineStr">
        <is>
          <t>会议明确执行人</t>
        </is>
      </c>
      <c r="F1" s="1" t="inlineStr">
        <is>
          <t>架构对应负责人/结果责任人</t>
        </is>
      </c>
      <c r="G1" s="1" t="inlineStr">
        <is>
          <t>责任识别依据</t>
        </is>
      </c>
      <c r="H1" s="1" t="inlineStr">
        <is>
          <t>协同部门/人员</t>
        </is>
      </c>
      <c r="I1" s="1" t="inlineStr">
        <is>
          <t>截止/周期</t>
        </is>
      </c>
      <c r="J1" s="1" t="inlineStr">
        <is>
          <t>验收标准/完成证据</t>
        </is>
      </c>
      <c r="K1" s="1" t="inlineStr">
        <is>
          <t>当前状态</t>
        </is>
      </c>
      <c r="L1" s="1" t="inlineStr">
        <is>
          <t>总经理跟进方式</t>
        </is>
      </c>
      <c r="M1" s="1" t="inlineStr">
        <is>
          <t>一对一约谈编号</t>
        </is>
      </c>
      <c r="N1" s="1" t="inlineStr">
        <is>
          <t>备注/待确认</t>
        </is>
      </c>
    </row>
    <row r="2">
      <c r="A2" s="2" t="inlineStr">
        <is>
          <t>ACT-001</t>
        </is>
      </c>
      <c r="B2" s="2" t="inlineStr">
        <is>
          <t>即日起执行上班着装规定；各班组检查拖鞋、凉鞋、短裤等不符合要求的穿着，违规按会议决定处理。</t>
        </is>
      </c>
      <c r="C2" s="2" t="inlineStr">
        <is>
          <t>安全/环境</t>
        </is>
      </c>
      <c r="D2" s="2" t="inlineStr">
        <is>
          <t>生产部各车间、全体员工</t>
        </is>
      </c>
      <c r="E2" s="2" t="inlineStr">
        <is>
          <t>各班组组长</t>
        </is>
      </c>
      <c r="F2" s="2" t="inlineStr">
        <is>
          <t>李天友（生产部负责人）</t>
        </is>
      </c>
      <c r="G2" s="2" t="inlineStr">
        <is>
          <t>组织架构：生产部负责人；纪要：各班组组长执行</t>
        </is>
      </c>
      <c r="H2" s="2" t="inlineStr">
        <is>
          <t>行政部/人事组负责制度宣导与记录</t>
        </is>
      </c>
      <c r="I2" s="3" t="inlineStr">
        <is>
          <t>即日起；持续</t>
        </is>
      </c>
      <c r="J2" s="2" t="inlineStr">
        <is>
          <t>检查记录、违规登记、部门宣导记录；抽查无遗漏</t>
        </is>
      </c>
      <c r="K2" s="2" t="inlineStr">
        <is>
          <t>待约谈</t>
        </is>
      </c>
      <c r="L2" s="2" t="inlineStr">
        <is>
          <t>约谈生产部负责人，明确各班组组长名单和检查频次</t>
        </is>
      </c>
      <c r="M2" s="2" t="inlineStr">
        <is>
          <t>ONE-001</t>
        </is>
      </c>
      <c r="N2" s="2" t="inlineStr">
        <is>
          <t>行政处罚执行口径需与行政/财务确认</t>
        </is>
      </c>
    </row>
    <row r="3">
      <c r="A3" s="2" t="inlineStr">
        <is>
          <t>ACT-002</t>
        </is>
      </c>
      <c r="B3" s="2" t="inlineStr">
        <is>
          <t>新员工入职前三天由指定师傅带教并负责安全观察；三天后购买团体意外险。</t>
        </is>
      </c>
      <c r="C3" s="2" t="inlineStr">
        <is>
          <t>人员/安全</t>
        </is>
      </c>
      <c r="D3" s="2" t="inlineStr">
        <is>
          <t>行政部、人事组；新奔/兴隆对应人员</t>
        </is>
      </c>
      <c r="E3" s="2" t="inlineStr">
        <is>
          <t>王秀红（新奔）、魏国（兴隆）</t>
        </is>
      </c>
      <c r="F3" s="2" t="inlineStr">
        <is>
          <t>王晓华（行政部/人事统筹）；王秀红、魏国为专项执行人</t>
        </is>
      </c>
      <c r="G3" s="2" t="inlineStr">
        <is>
          <t>纪要点名执行人；架构：行政部负责人王晓华；两公司分工需确认</t>
        </is>
      </c>
      <c r="H3" s="2" t="inlineStr">
        <is>
          <t>各用工部门负责人、带教师傅</t>
        </is>
      </c>
      <c r="I3" s="3" t="inlineStr">
        <is>
          <t>入职后第1-3天；第3天后办理</t>
        </is>
      </c>
      <c r="J3" s="2" t="inlineStr">
        <is>
          <t>新员工带教记录、安全培训记录、保险购买凭证；未培训不得上岗</t>
        </is>
      </c>
      <c r="K3" s="2" t="inlineStr">
        <is>
          <t>待约谈</t>
        </is>
      </c>
      <c r="L3" s="2" t="inlineStr">
        <is>
          <t>分别约谈行政负责人和两公司执行人，确认名单、节点、凭证归档位置</t>
        </is>
      </c>
      <c r="M3" s="2" t="inlineStr">
        <is>
          <t>ONE-002</t>
        </is>
      </c>
      <c r="N3" s="2" t="inlineStr">
        <is>
          <t>纪要使用“新奔/兴隆”，与现行组织单元名称需对照确认</t>
        </is>
      </c>
    </row>
    <row r="4">
      <c r="A4" s="2" t="inlineStr">
        <is>
          <t>ACT-003</t>
        </is>
      </c>
      <c r="B4" s="2" t="inlineStr">
        <is>
          <t>电力安装完成后，组织技术人员逐台检查设备、电器、线路，排除漏电、爆炸、线路破损等隐患。</t>
        </is>
      </c>
      <c r="C4" s="2" t="inlineStr">
        <is>
          <t>设备/安全</t>
        </is>
      </c>
      <c r="D4" s="2" t="inlineStr">
        <is>
          <t>生产部、工程技术组、各车间</t>
        </is>
      </c>
      <c r="E4" s="2" t="inlineStr">
        <is>
          <t>各公司技术人员</t>
        </is>
      </c>
      <c r="F4" s="2" t="inlineStr">
        <is>
          <t>刘东（工程技术组/模具技术负责人）；李天友（生产部负责人）承担现场结果责任</t>
        </is>
      </c>
      <c r="G4" s="2" t="inlineStr">
        <is>
          <t>架构：工程技术组负责人刘东；生产部统筹设备与安全</t>
        </is>
      </c>
      <c r="H4" s="2" t="inlineStr">
        <is>
          <t>各车间负责人、电工/外协电工</t>
        </is>
      </c>
      <c r="I4" s="3" t="inlineStr">
        <is>
          <t>电力安装完成后</t>
        </is>
      </c>
      <c r="J4" s="2" t="inlineStr">
        <is>
          <t>逐台检查表、线路整改照片、复查签字；料盘线不得落地</t>
        </is>
      </c>
      <c r="K4" s="2" t="inlineStr">
        <is>
          <t>待约谈</t>
        </is>
      </c>
      <c r="L4" s="2" t="inlineStr">
        <is>
          <t>约谈刘东和李天友，确定检查清单、人员、完成日期和停机规则</t>
        </is>
      </c>
      <c r="M4" s="2" t="inlineStr">
        <is>
          <t>ONE-003</t>
        </is>
      </c>
      <c r="N4" s="2" t="inlineStr">
        <is>
          <t>“各公司技术人员”未具体列名；电工责任需补充</t>
        </is>
      </c>
    </row>
    <row r="5">
      <c r="A5" s="2" t="inlineStr">
        <is>
          <t>ACT-004</t>
        </is>
      </c>
      <c r="B5" s="2" t="inlineStr">
        <is>
          <t>每周六召开安全会，排查隐患、做好记录、传达和上传下达。</t>
        </is>
      </c>
      <c r="C5" s="2" t="inlineStr">
        <is>
          <t>管理/安全</t>
        </is>
      </c>
      <c r="D5" s="2" t="inlineStr">
        <is>
          <t>总经理、生产部、品质部、营运部、行政部及各班组</t>
        </is>
      </c>
      <c r="E5" s="2" t="inlineStr">
        <is>
          <t>主管人员</t>
        </is>
      </c>
      <c r="F5" s="2" t="inlineStr">
        <is>
          <t>王晓华（总经理）统筹；各部门负责人对本部门落实负责</t>
        </is>
      </c>
      <c r="G5" s="2" t="inlineStr">
        <is>
          <t>架构：总经理统筹五个一级部门；纪要：主管人员执行</t>
        </is>
      </c>
      <c r="H5" s="2" t="inlineStr">
        <is>
          <t>各部门负责人、班组组长</t>
        </is>
      </c>
      <c r="I5" s="3" t="inlineStr">
        <is>
          <t>每周六；持续</t>
        </is>
      </c>
      <c r="J5" s="2" t="inlineStr">
        <is>
          <t>会议提纲、签到、隐患清单、整改跟踪、主管签名、传达记录</t>
        </is>
      </c>
      <c r="K5" s="2" t="inlineStr">
        <is>
          <t>待约谈</t>
        </is>
      </c>
      <c r="L5" s="2" t="inlineStr">
        <is>
          <t>约谈各部门负责人，固定主持人、记录人、会议模板和升级规则</t>
        </is>
      </c>
      <c r="M5" s="2" t="inlineStr">
        <is>
          <t>ONE-004</t>
        </is>
      </c>
      <c r="N5" s="2" t="inlineStr">
        <is>
          <t>必须指定会议主持、记录、整改验收三类角色</t>
        </is>
      </c>
    </row>
    <row r="6">
      <c r="A6" s="2" t="inlineStr">
        <is>
          <t>ACT-005</t>
        </is>
      </c>
      <c r="B6" s="2" t="inlineStr">
        <is>
          <t>购买电视屏和数据线，完善会议室，推进办公电脑化。</t>
        </is>
      </c>
      <c r="C6" s="2" t="inlineStr">
        <is>
          <t>设备/管理</t>
        </is>
      </c>
      <c r="D6" s="2" t="inlineStr">
        <is>
          <t>行政部、财务部</t>
        </is>
      </c>
      <c r="E6" s="2" t="inlineStr">
        <is>
          <t>陈继善、王明涵、李天勇</t>
        </is>
      </c>
      <c r="F6" s="2" t="inlineStr">
        <is>
          <t>王晓华（行政/采购协调）；王勇（财务审批）</t>
        </is>
      </c>
      <c r="G6" s="2" t="inlineStr">
        <is>
          <t>纪要点名三人；架构：行政统筹、财务负责费用审批；李天友为生产/品质负责人</t>
        </is>
      </c>
      <c r="H6" s="2" t="inlineStr">
        <is>
          <t>行政部、人事组、财务部</t>
        </is>
      </c>
      <c r="I6" s="3" t="inlineStr">
        <is>
          <t>待确认；会议要求尽快落实</t>
        </is>
      </c>
      <c r="J6" s="2" t="inlineStr">
        <is>
          <t>采购凭证、安装照片、设备可正常连接电脑并完成测试</t>
        </is>
      </c>
      <c r="K6" s="2" t="inlineStr">
        <is>
          <t>待约谈</t>
        </is>
      </c>
      <c r="L6" s="2" t="inlineStr">
        <is>
          <t>约谈行政与财务负责人，确认预算、采购、安装及验收人</t>
        </is>
      </c>
      <c r="M6" s="2" t="inlineStr">
        <is>
          <t>ONE-005</t>
        </is>
      </c>
      <c r="N6" s="2" t="inlineStr">
        <is>
          <t>李天勇在架构表对应李天友，姓名需核对后统一</t>
        </is>
      </c>
    </row>
    <row r="7">
      <c r="A7" s="2" t="inlineStr">
        <is>
          <t>ACT-006</t>
        </is>
      </c>
      <c r="B7" s="2" t="inlineStr">
        <is>
          <t>落实宿舍楼层卫生排班，处理楼梯间、厕所等公共区域责任。</t>
        </is>
      </c>
      <c r="C7" s="2" t="inlineStr">
        <is>
          <t>管理/安全/环境</t>
        </is>
      </c>
      <c r="D7" s="2" t="inlineStr">
        <is>
          <t>行政部/后勤组、宿舍人员</t>
        </is>
      </c>
      <c r="E7" s="2" t="inlineStr">
        <is>
          <t>小勇</t>
        </is>
      </c>
      <c r="F7" s="2" t="inlineStr">
        <is>
          <t>王晓华（行政部负责人）；“小勇”身份待核对</t>
        </is>
      </c>
      <c r="G7" s="2" t="inlineStr">
        <is>
          <t>架构：后勤归行政部；纪要只称小勇，无法唯一映射</t>
        </is>
      </c>
      <c r="H7" s="2" t="inlineStr">
        <is>
          <t>各楼层住员、房东（设施维修事项）</t>
        </is>
      </c>
      <c r="I7" s="3" t="inlineStr">
        <is>
          <t>待确认；排班后持续</t>
        </is>
      </c>
      <c r="J7" s="2" t="inlineStr">
        <is>
          <t>楼层排班表、每周检查记录、厕所/楼梯间问题闭环</t>
        </is>
      </c>
      <c r="K7" s="2" t="inlineStr">
        <is>
          <t>待约谈</t>
        </is>
      </c>
      <c r="L7" s="2" t="inlineStr">
        <is>
          <t>约谈行政负责人，确认“小勇”真实姓名、后勤责任边界和房东维修边界</t>
        </is>
      </c>
      <c r="M7" s="2" t="inlineStr">
        <is>
          <t>ONE-006</t>
        </is>
      </c>
      <c r="N7" s="2" t="inlineStr">
        <is>
          <t>不能直接把“小勇”写成正式责任人</t>
        </is>
      </c>
    </row>
    <row r="8">
      <c r="A8" s="2" t="inlineStr">
        <is>
          <t>ACT-007</t>
        </is>
      </c>
      <c r="B8" s="2" t="inlineStr">
        <is>
          <t>准备2026-11-04进财神仪式红包，每人50元，组织人员尽量到场。</t>
        </is>
      </c>
      <c r="C8" s="2" t="inlineStr">
        <is>
          <t>行政/人事</t>
        </is>
      </c>
      <c r="D8" s="2" t="inlineStr">
        <is>
          <t>行政部、财务部、全体员工</t>
        </is>
      </c>
      <c r="E8" s="2" t="inlineStr">
        <is>
          <t>王为何、王勇</t>
        </is>
      </c>
      <c r="F8" s="2" t="inlineStr">
        <is>
          <t>王晓华（行政统筹）；王勇（费用/财务确认）</t>
        </is>
      </c>
      <c r="G8" s="2" t="inlineStr">
        <is>
          <t>纪要点名王为何、王勇；架构王勇为董事长/财务负责人；行政组织归王晓华</t>
        </is>
      </c>
      <c r="H8" s="2" t="inlineStr">
        <is>
          <t>各部门负责人、行政/人事组</t>
        </is>
      </c>
      <c r="I8" s="3" t="inlineStr">
        <is>
          <t>2026-11-04 08:00</t>
        </is>
      </c>
      <c r="J8" s="2" t="inlineStr">
        <is>
          <t>红包数量与名单、发放登记、费用凭证、异常缺席说明</t>
        </is>
      </c>
      <c r="K8" s="2" t="inlineStr">
        <is>
          <t>待约谈</t>
        </is>
      </c>
      <c r="L8" s="2" t="inlineStr">
        <is>
          <t>约谈行政负责人和财务负责人，确认参加名单、预算、发放记录</t>
        </is>
      </c>
      <c r="M8" s="2" t="inlineStr">
        <is>
          <t>ONE-007</t>
        </is>
      </c>
      <c r="N8" s="2" t="inlineStr">
        <is>
          <t>王为何岗位/部门未在当前员工名单中，需补录或确认</t>
        </is>
      </c>
    </row>
    <row r="9">
      <c r="A9" s="2" t="inlineStr">
        <is>
          <t>ACT-008</t>
        </is>
      </c>
      <c r="B9" s="2" t="inlineStr">
        <is>
          <t>排查仓库实物与台账是否相符，模具配件划区入库并入台账；同时排查车间电气线路，料盘下线不能落地。</t>
        </is>
      </c>
      <c r="C9" s="2" t="inlineStr">
        <is>
          <t>材料/设备/安全</t>
        </is>
      </c>
      <c r="D9" s="2" t="inlineStr">
        <is>
          <t>营运部仓储组、生产部工程技术组/各车间</t>
        </is>
      </c>
      <c r="E9" s="2" t="inlineStr">
        <is>
          <t>各管理人员</t>
        </is>
      </c>
      <c r="F9" s="2" t="inlineStr">
        <is>
          <t>王晓华（营运统筹）；王珊兰（仓储组）；刘东/李天友（技术与生产安全）</t>
        </is>
      </c>
      <c r="G9" s="2" t="inlineStr">
        <is>
          <t>架构：营运部负责人王晓华、仓储组负责人王珊兰、工程技术组负责人刘东、生产部负责人李天友</t>
        </is>
      </c>
      <c r="H9" s="2" t="inlineStr">
        <is>
          <t>仓库员、各车间负责人、财务/成本协同</t>
        </is>
      </c>
      <c r="I9" s="3" t="inlineStr">
        <is>
          <t>待确认；电气项为安装完成后</t>
        </is>
      </c>
      <c r="J9" s="2" t="inlineStr">
        <is>
          <t>盘点差异表、模具配件入库台账、线路排查表、整改照片、复核签字</t>
        </is>
      </c>
      <c r="K9" s="2" t="inlineStr">
        <is>
          <t>待约谈</t>
        </is>
      </c>
      <c r="L9" s="2" t="inlineStr">
        <is>
          <t>按仓库与电气两条线分别约谈，禁止用“各管理人员”代替负责人</t>
        </is>
      </c>
      <c r="M9" s="2" t="inlineStr">
        <is>
          <t>ONE-008</t>
        </is>
      </c>
      <c r="N9" s="2" t="inlineStr">
        <is>
          <t>应拆成仓储盘点和电气隐患两个子任务后跟进</t>
        </is>
      </c>
    </row>
  </sheetData>
  <autoFilter ref="A1:N9"/>
  <conditionalFormatting sqref="K2:K100">
    <cfRule type="expression" priority="1" dxfId="0">
      <formula>K2="已通过"</formula>
    </cfRule>
    <cfRule type="expression" priority="2" dxfId="1">
      <formula>K2="待约谈"</formula>
    </cfRule>
    <cfRule type="expression" priority="3" dxfId="2">
      <formula>K2="整改中"</formula>
    </cfRule>
  </conditionalFormatting>
  <dataValidations count="2">
    <dataValidation sqref="K2:K100" showDropDown="0" showInputMessage="0" showErrorMessage="0" allowBlank="1" errorTitle="填写不规范" error="请从下拉选项中选择" promptTitle="填写提示" prompt="请选择标准值" type="list">
      <formula1>"未开始,待约谈,进行中,待验收,已通过,整改中,关闭"</formula1>
    </dataValidation>
    <dataValidation sqref="C2:C100" showDropDown="0" showInputMessage="0" showErrorMessage="0" allowBlank="1" errorTitle="填写不规范" error="请从下拉选项中选择" promptTitle="填写提示" prompt="请选择标准值" type="list">
      <formula1>"人员,设备,材料,管理,质量,安全/环境,成本/效率,其他"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32" customWidth="1" min="5" max="5"/>
    <col width="42" customWidth="1" min="6" max="6"/>
    <col width="34" customWidth="1" min="7" max="7"/>
    <col width="14" customWidth="1" min="8" max="8"/>
    <col width="34" customWidth="1" min="9" max="9"/>
    <col width="18" customWidth="1" min="10" max="10"/>
    <col width="16" customWidth="1" min="11" max="11"/>
    <col width="14" customWidth="1" min="12" max="12"/>
    <col width="14" customWidth="1" min="13" max="13"/>
  </cols>
  <sheetData>
    <row r="1" ht="38" customHeight="1">
      <c r="A1" s="1" t="inlineStr">
        <is>
          <t>约谈编号</t>
        </is>
      </c>
      <c r="B1" s="1" t="inlineStr">
        <is>
          <t>对应事项编号</t>
        </is>
      </c>
      <c r="C1" s="1" t="inlineStr">
        <is>
          <t>被约谈部门/人员</t>
        </is>
      </c>
      <c r="D1" s="1" t="inlineStr">
        <is>
          <t>架构身份</t>
        </is>
      </c>
      <c r="E1" s="1" t="inlineStr">
        <is>
          <t>总经理约谈目的</t>
        </is>
      </c>
      <c r="F1" s="1" t="inlineStr">
        <is>
          <t>必须确认的问题</t>
        </is>
      </c>
      <c r="G1" s="1" t="inlineStr">
        <is>
          <t>要求对方带来的证据/资料</t>
        </is>
      </c>
      <c r="H1" s="1" t="inlineStr">
        <is>
          <t>约谈日期</t>
        </is>
      </c>
      <c r="I1" s="1" t="inlineStr">
        <is>
          <t>约谈结论/承诺</t>
        </is>
      </c>
      <c r="J1" s="1" t="inlineStr">
        <is>
          <t>新的责任人</t>
        </is>
      </c>
      <c r="K1" s="1" t="inlineStr">
        <is>
          <t>新的截止日期</t>
        </is>
      </c>
      <c r="L1" s="1" t="inlineStr">
        <is>
          <t>后续跟进状态</t>
        </is>
      </c>
      <c r="M1" s="1" t="inlineStr">
        <is>
          <t>记录人</t>
        </is>
      </c>
    </row>
    <row r="2">
      <c r="A2" s="2" t="inlineStr">
        <is>
          <t>ONE-001</t>
        </is>
      </c>
      <c r="B2" s="2" t="inlineStr">
        <is>
          <t>ACT-001</t>
        </is>
      </c>
      <c r="C2" s="2" t="inlineStr">
        <is>
          <t>李天友＋各班组组长</t>
        </is>
      </c>
      <c r="D2" s="2" t="inlineStr">
        <is>
          <t>生产部负责人/班组负责人</t>
        </is>
      </c>
      <c r="E2" s="2" t="inlineStr">
        <is>
          <t>把着装要求落实到具体班组和检查动作</t>
        </is>
      </c>
      <c r="F2" s="2" t="inlineStr">
        <is>
          <t>每个班组长是谁？每天谁检查？违规如何记录和上报？</t>
        </is>
      </c>
      <c r="G2" s="2" t="inlineStr">
        <is>
          <t>班组名单、检查表、宣导记录</t>
        </is>
      </c>
      <c r="H2" s="2" t="inlineStr">
        <is>
          <t>待安排</t>
        </is>
      </c>
      <c r="I2" s="2" t="inlineStr">
        <is>
          <t>待填写</t>
        </is>
      </c>
      <c r="J2" s="2" t="inlineStr">
        <is>
          <t>待确认</t>
        </is>
      </c>
      <c r="K2" s="2" t="inlineStr">
        <is>
          <t>待确认</t>
        </is>
      </c>
      <c r="L2" s="2" t="inlineStr">
        <is>
          <t>待约谈</t>
        </is>
      </c>
      <c r="M2" s="2" t="inlineStr">
        <is>
          <t>待确认</t>
        </is>
      </c>
    </row>
    <row r="3">
      <c r="A3" s="2" t="inlineStr">
        <is>
          <t>ONE-002</t>
        </is>
      </c>
      <c r="B3" s="2" t="inlineStr">
        <is>
          <t>ACT-002</t>
        </is>
      </c>
      <c r="C3" s="2" t="inlineStr">
        <is>
          <t>王晓华；王秀红；魏国</t>
        </is>
      </c>
      <c r="D3" s="2" t="inlineStr">
        <is>
          <t>行政负责人；专项执行人</t>
        </is>
      </c>
      <c r="E3" s="2" t="inlineStr">
        <is>
          <t>确认新员工安全培训、带教、保险三节点是否有人负责</t>
        </is>
      </c>
      <c r="F3" s="2" t="inlineStr">
        <is>
          <t>新员工入职信息由谁接收？谁指定师傅？三天后谁办理保险？两个公司如何留凭证？</t>
        </is>
      </c>
      <c r="G3" s="2" t="inlineStr">
        <is>
          <t>新员工名单、带教表、保险办理流程/凭证</t>
        </is>
      </c>
      <c r="H3" s="2" t="inlineStr">
        <is>
          <t>待安排</t>
        </is>
      </c>
      <c r="I3" s="2" t="inlineStr">
        <is>
          <t>待填写</t>
        </is>
      </c>
      <c r="J3" s="2" t="inlineStr">
        <is>
          <t>待确认</t>
        </is>
      </c>
      <c r="K3" s="2" t="inlineStr">
        <is>
          <t>待确认</t>
        </is>
      </c>
      <c r="L3" s="2" t="inlineStr">
        <is>
          <t>待约谈</t>
        </is>
      </c>
      <c r="M3" s="2" t="inlineStr">
        <is>
          <t>待确认</t>
        </is>
      </c>
    </row>
    <row r="4">
      <c r="A4" s="2" t="inlineStr">
        <is>
          <t>ONE-003</t>
        </is>
      </c>
      <c r="B4" s="2" t="inlineStr">
        <is>
          <t>ACT-003</t>
        </is>
      </c>
      <c r="C4" s="2" t="inlineStr">
        <is>
          <t>刘东＋李天友</t>
        </is>
      </c>
      <c r="D4" s="2" t="inlineStr">
        <is>
          <t>工程技术组负责人；生产部负责人</t>
        </is>
      </c>
      <c r="E4" s="2" t="inlineStr">
        <is>
          <t>把电气设备排查从口号变成逐台检查和整改闭环</t>
        </is>
      </c>
      <c r="F4" s="2" t="inlineStr">
        <is>
          <t>技术人员名单？电工是谁？何时完成？发现隐患谁能停机？谁复验？</t>
        </is>
      </c>
      <c r="G4" s="2" t="inlineStr">
        <is>
          <t>设备清单、线路图/检查表、整改计划</t>
        </is>
      </c>
      <c r="H4" s="2" t="inlineStr">
        <is>
          <t>待安排</t>
        </is>
      </c>
      <c r="I4" s="2" t="inlineStr">
        <is>
          <t>待填写</t>
        </is>
      </c>
      <c r="J4" s="2" t="inlineStr">
        <is>
          <t>待确认</t>
        </is>
      </c>
      <c r="K4" s="2" t="inlineStr">
        <is>
          <t>待确认</t>
        </is>
      </c>
      <c r="L4" s="2" t="inlineStr">
        <is>
          <t>待约谈</t>
        </is>
      </c>
      <c r="M4" s="2" t="inlineStr">
        <is>
          <t>待确认</t>
        </is>
      </c>
    </row>
    <row r="5">
      <c r="A5" s="2" t="inlineStr">
        <is>
          <t>ONE-004</t>
        </is>
      </c>
      <c r="B5" s="2" t="inlineStr">
        <is>
          <t>ACT-004</t>
        </is>
      </c>
      <c r="C5" s="2" t="inlineStr">
        <is>
          <t>王晓华及五个一级部门负责人</t>
        </is>
      </c>
      <c r="D5" s="2" t="inlineStr">
        <is>
          <t>总经理/部门负责人</t>
        </is>
      </c>
      <c r="E5" s="2" t="inlineStr">
        <is>
          <t>固定每周安全会的责任链，避免“开完会没人跟”</t>
        </is>
      </c>
      <c r="F5" s="2" t="inlineStr">
        <is>
          <t>主持人、记录人、隐患验收人分别是谁？纪要谁签名？逾期如何升级？</t>
        </is>
      </c>
      <c r="G5" s="2" t="inlineStr">
        <is>
          <t>现行部门负责人清单、会议模板、上周隐患清单</t>
        </is>
      </c>
      <c r="H5" s="2" t="inlineStr">
        <is>
          <t>待安排</t>
        </is>
      </c>
      <c r="I5" s="2" t="inlineStr">
        <is>
          <t>待填写</t>
        </is>
      </c>
      <c r="J5" s="2" t="inlineStr">
        <is>
          <t>待确认</t>
        </is>
      </c>
      <c r="K5" s="2" t="inlineStr">
        <is>
          <t>待确认</t>
        </is>
      </c>
      <c r="L5" s="2" t="inlineStr">
        <is>
          <t>待约谈</t>
        </is>
      </c>
      <c r="M5" s="2" t="inlineStr">
        <is>
          <t>待确认</t>
        </is>
      </c>
    </row>
    <row r="6">
      <c r="A6" s="2" t="inlineStr">
        <is>
          <t>ONE-005</t>
        </is>
      </c>
      <c r="B6" s="2" t="inlineStr">
        <is>
          <t>ACT-005</t>
        </is>
      </c>
      <c r="C6" s="2" t="inlineStr">
        <is>
          <t>王晓华；王勇；陈继善/王明涵/李天友</t>
        </is>
      </c>
      <c r="D6" s="2" t="inlineStr">
        <is>
          <t>行政/财务负责人；执行人</t>
        </is>
      </c>
      <c r="E6" s="2" t="inlineStr">
        <is>
          <t>确认采购、预算、安装、验收四个角色</t>
        </is>
      </c>
      <c r="F6" s="2" t="inlineStr">
        <is>
          <t>预算多少？谁采购？谁安装？谁验收？设备接入电脑的责任人是谁？</t>
        </is>
      </c>
      <c r="G6" s="2" t="inlineStr">
        <is>
          <t>采购比价、预算、设备清单、安装方案</t>
        </is>
      </c>
      <c r="H6" s="2" t="inlineStr">
        <is>
          <t>待安排</t>
        </is>
      </c>
      <c r="I6" s="2" t="inlineStr">
        <is>
          <t>待填写</t>
        </is>
      </c>
      <c r="J6" s="2" t="inlineStr">
        <is>
          <t>待确认</t>
        </is>
      </c>
      <c r="K6" s="2" t="inlineStr">
        <is>
          <t>待确认</t>
        </is>
      </c>
      <c r="L6" s="2" t="inlineStr">
        <is>
          <t>待约谈</t>
        </is>
      </c>
      <c r="M6" s="2" t="inlineStr">
        <is>
          <t>待确认</t>
        </is>
      </c>
    </row>
    <row r="7">
      <c r="A7" s="2" t="inlineStr">
        <is>
          <t>ONE-006</t>
        </is>
      </c>
      <c r="B7" s="2" t="inlineStr">
        <is>
          <t>ACT-006</t>
        </is>
      </c>
      <c r="C7" s="2" t="inlineStr">
        <is>
          <t>王晓华；“小勇”待核对</t>
        </is>
      </c>
      <c r="D7" s="2" t="inlineStr">
        <is>
          <t>行政/后勤负责人；身份不明</t>
        </is>
      </c>
      <c r="E7" s="2" t="inlineStr">
        <is>
          <t>明确宿舍卫生与房东维修边界，确认“小勇”身份</t>
        </is>
      </c>
      <c r="F7" s="2" t="inlineStr">
        <is>
          <t>小勇真实姓名/岗位？每层谁负责？房东负责什么？公司负责什么？</t>
        </is>
      </c>
      <c r="G7" s="2" t="inlineStr">
        <is>
          <t>宿舍人员名单、楼层分配、排班草案</t>
        </is>
      </c>
      <c r="H7" s="2" t="inlineStr">
        <is>
          <t>待安排</t>
        </is>
      </c>
      <c r="I7" s="2" t="inlineStr">
        <is>
          <t>待填写</t>
        </is>
      </c>
      <c r="J7" s="2" t="inlineStr">
        <is>
          <t>待确认</t>
        </is>
      </c>
      <c r="K7" s="2" t="inlineStr">
        <is>
          <t>待确认</t>
        </is>
      </c>
      <c r="L7" s="2" t="inlineStr">
        <is>
          <t>待约谈</t>
        </is>
      </c>
      <c r="M7" s="2" t="inlineStr">
        <is>
          <t>待确认</t>
        </is>
      </c>
    </row>
    <row r="8">
      <c r="A8" s="2" t="inlineStr">
        <is>
          <t>ONE-007</t>
        </is>
      </c>
      <c r="B8" s="2" t="inlineStr">
        <is>
          <t>ACT-007</t>
        </is>
      </c>
      <c r="C8" s="2" t="inlineStr">
        <is>
          <t>王晓华；王勇；王为何待核对</t>
        </is>
      </c>
      <c r="D8" s="2" t="inlineStr">
        <is>
          <t>行政/财务负责人；执行人身份待核对</t>
        </is>
      </c>
      <c r="E8" s="2" t="inlineStr">
        <is>
          <t>确认活动名单、红包预算、发放和异常处理</t>
        </is>
      </c>
      <c r="F8" s="2" t="inlineStr">
        <is>
          <t>王为何真实身份？总人数？预算来源？缺席标准？谁留发放记录？</t>
        </is>
      </c>
      <c r="G8" s="2" t="inlineStr">
        <is>
          <t>员工名单、预算、红包发放表</t>
        </is>
      </c>
      <c r="H8" s="2" t="inlineStr">
        <is>
          <t>待安排</t>
        </is>
      </c>
      <c r="I8" s="2" t="inlineStr">
        <is>
          <t>待填写</t>
        </is>
      </c>
      <c r="J8" s="2" t="inlineStr">
        <is>
          <t>待确认</t>
        </is>
      </c>
      <c r="K8" s="2" t="inlineStr">
        <is>
          <t>待确认</t>
        </is>
      </c>
      <c r="L8" s="2" t="inlineStr">
        <is>
          <t>待约谈</t>
        </is>
      </c>
      <c r="M8" s="2" t="inlineStr">
        <is>
          <t>待确认</t>
        </is>
      </c>
    </row>
    <row r="9">
      <c r="A9" s="2" t="inlineStr">
        <is>
          <t>ONE-008</t>
        </is>
      </c>
      <c r="B9" s="2" t="inlineStr">
        <is>
          <t>ACT-008</t>
        </is>
      </c>
      <c r="C9" s="2" t="inlineStr">
        <is>
          <t>王晓华；王珊兰；刘东；李天友</t>
        </is>
      </c>
      <c r="D9" s="2" t="inlineStr">
        <is>
          <t>营运/仓储/工程技术/生产负责人</t>
        </is>
      </c>
      <c r="E9" s="2" t="inlineStr">
        <is>
          <t>把综合事项拆成仓储线和电气线，分别定责</t>
        </is>
      </c>
      <c r="F9" s="2" t="inlineStr">
        <is>
          <t>仓库盘点负责人和复核人？模具配件库位？电气排查责任人？何时复验？</t>
        </is>
      </c>
      <c r="G9" s="2" t="inlineStr">
        <is>
          <t>仓储台账、库存盘点表、模具清单、线路排查表</t>
        </is>
      </c>
      <c r="H9" s="2" t="inlineStr">
        <is>
          <t>待安排</t>
        </is>
      </c>
      <c r="I9" s="2" t="inlineStr">
        <is>
          <t>待填写</t>
        </is>
      </c>
      <c r="J9" s="2" t="inlineStr">
        <is>
          <t>待确认</t>
        </is>
      </c>
      <c r="K9" s="2" t="inlineStr">
        <is>
          <t>待确认</t>
        </is>
      </c>
      <c r="L9" s="2" t="inlineStr">
        <is>
          <t>待约谈</t>
        </is>
      </c>
      <c r="M9" s="2" t="inlineStr">
        <is>
          <t>待确认</t>
        </is>
      </c>
    </row>
  </sheetData>
  <autoFilter ref="A1:M9"/>
  <dataValidations count="1">
    <dataValidation sqref="L2:L100" showDropDown="0" showInputMessage="0" showErrorMessage="0" allowBlank="1" errorTitle="填写不规范" error="请从下拉选项中选择" promptTitle="填写提示" prompt="请选择标准值" type="list">
      <formula1>"待约谈,已约谈,已确认,需升级,已关闭"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8" customWidth="1" min="4" max="4"/>
    <col width="30" customWidth="1" min="5" max="5"/>
    <col width="16" customWidth="1" min="6" max="6"/>
    <col width="42" customWidth="1" min="7" max="7"/>
    <col width="38" customWidth="1" min="8" max="8"/>
  </cols>
  <sheetData>
    <row r="1" ht="38" customHeight="1">
      <c r="A1" s="1" t="inlineStr">
        <is>
          <t>责任识别项</t>
        </is>
      </c>
      <c r="B1" s="1" t="inlineStr">
        <is>
          <t>会议原文/行动称谓</t>
        </is>
      </c>
      <c r="C1" s="1" t="inlineStr">
        <is>
          <t>对应组织单元</t>
        </is>
      </c>
      <c r="D1" s="1" t="inlineStr">
        <is>
          <t>架构负责人</t>
        </is>
      </c>
      <c r="E1" s="1" t="inlineStr">
        <is>
          <t>可直接确认的人员</t>
        </is>
      </c>
      <c r="F1" s="1" t="inlineStr">
        <is>
          <t>识别状态</t>
        </is>
      </c>
      <c r="G1" s="1" t="inlineStr">
        <is>
          <t>总经理必须确认的内容</t>
        </is>
      </c>
      <c r="H1" s="1" t="inlineStr">
        <is>
          <t>依据文件/位置</t>
        </is>
      </c>
    </row>
    <row r="2">
      <c r="A2" s="2" t="inlineStr">
        <is>
          <t>部门负责人</t>
        </is>
      </c>
      <c r="B2" s="2" t="inlineStr">
        <is>
          <t>主管人员/各管理人员</t>
        </is>
      </c>
      <c r="C2" s="2" t="inlineStr">
        <is>
          <t>总经理及各一级部门</t>
        </is>
      </c>
      <c r="D2" s="2" t="inlineStr">
        <is>
          <t>王晓华（总经理）及对应部门负责人</t>
        </is>
      </c>
      <c r="E2" s="2" t="inlineStr">
        <is>
          <t>王晓华、李天友、王勇、刘东、王珊兰</t>
        </is>
      </c>
      <c r="F2" s="2" t="inlineStr">
        <is>
          <t>部分确认</t>
        </is>
      </c>
      <c r="G2" s="2" t="inlineStr">
        <is>
          <t>具体事项分别归哪个部门，谁承担A责任</t>
        </is>
      </c>
      <c r="H2" s="2" t="inlineStr">
        <is>
          <t>组织架构与职责矩阵模板/02组织单元、03岗位字典</t>
        </is>
      </c>
    </row>
    <row r="3">
      <c r="A3" s="2" t="inlineStr">
        <is>
          <t>生产安全/车间</t>
        </is>
      </c>
      <c r="B3" s="2" t="inlineStr">
        <is>
          <t>各班组组长</t>
        </is>
      </c>
      <c r="C3" s="2" t="inlineStr">
        <is>
          <t>生产部/冲压车间、清洗车间、模具维修组</t>
        </is>
      </c>
      <c r="D3" s="2" t="inlineStr">
        <is>
          <t>李天友（生产部负责人）</t>
        </is>
      </c>
      <c r="E3" s="2" t="inlineStr">
        <is>
          <t>王小平、马金军、吴闻根、刘东</t>
        </is>
      </c>
      <c r="F3" s="2" t="inlineStr">
        <is>
          <t>待确认</t>
        </is>
      </c>
      <c r="G3" s="2" t="inlineStr">
        <is>
          <t>逐项指定班组长，形成班组安全检查责任表</t>
        </is>
      </c>
      <c r="H3" s="2" t="inlineStr">
        <is>
          <t>组织架构模板；会议纪要行动项</t>
        </is>
      </c>
    </row>
    <row r="4">
      <c r="A4" s="2" t="inlineStr">
        <is>
          <t>新员工保险</t>
        </is>
      </c>
      <c r="B4" s="2" t="inlineStr">
        <is>
          <t>王秀红（新奔）、魏国（兴隆）</t>
        </is>
      </c>
      <c r="C4" s="2" t="inlineStr">
        <is>
          <t>行政部/人事组＋两公司用工部门</t>
        </is>
      </c>
      <c r="D4" s="2" t="inlineStr">
        <is>
          <t>王晓华</t>
        </is>
      </c>
      <c r="E4" s="2" t="inlineStr">
        <is>
          <t>王秀红、魏国</t>
        </is>
      </c>
      <c r="F4" s="2" t="inlineStr">
        <is>
          <t>身份/组织待对照</t>
        </is>
      </c>
      <c r="G4" s="2" t="inlineStr">
        <is>
          <t>确认两公司名称、两人岗位和保险办理权限</t>
        </is>
      </c>
      <c r="H4" s="2" t="inlineStr">
        <is>
          <t>会议纪要；组织架构模板</t>
        </is>
      </c>
    </row>
    <row r="5">
      <c r="A5" s="2" t="inlineStr">
        <is>
          <t>技术排查</t>
        </is>
      </c>
      <c r="B5" s="2" t="inlineStr">
        <is>
          <t>各公司技术人员</t>
        </is>
      </c>
      <c r="C5" s="2" t="inlineStr">
        <is>
          <t>生产部/工程技术组</t>
        </is>
      </c>
      <c r="D5" s="2" t="inlineStr">
        <is>
          <t>刘东</t>
        </is>
      </c>
      <c r="E5" s="2" t="inlineStr">
        <is>
          <t>刘东；电工人员待补录</t>
        </is>
      </c>
      <c r="F5" s="2" t="inlineStr">
        <is>
          <t>待确认</t>
        </is>
      </c>
      <c r="G5" s="2" t="inlineStr">
        <is>
          <t>指定具体技术人员/电工和检查复验人</t>
        </is>
      </c>
      <c r="H5" s="2" t="inlineStr">
        <is>
          <t>组织架构模板/工程技术组；会议纪要</t>
        </is>
      </c>
    </row>
    <row r="6">
      <c r="A6" s="2" t="inlineStr">
        <is>
          <t>会议制度</t>
        </is>
      </c>
      <c r="B6" s="2" t="inlineStr">
        <is>
          <t>主管人员</t>
        </is>
      </c>
      <c r="C6" s="2" t="inlineStr">
        <is>
          <t>公司层级及各一级部门</t>
        </is>
      </c>
      <c r="D6" s="2" t="inlineStr">
        <is>
          <t>王晓华</t>
        </is>
      </c>
      <c r="E6" s="2" t="inlineStr">
        <is>
          <t>王晓华；部门负责人待逐一确认</t>
        </is>
      </c>
      <c r="F6" s="2" t="inlineStr">
        <is>
          <t>部分确认</t>
        </is>
      </c>
      <c r="G6" s="2" t="inlineStr">
        <is>
          <t>指定主持、记录、隐患验收、升级人</t>
        </is>
      </c>
      <c r="H6" s="2" t="inlineStr">
        <is>
          <t>组织架构模板/总经理岗位职责；会议纪要</t>
        </is>
      </c>
    </row>
    <row r="7">
      <c r="A7" s="2" t="inlineStr">
        <is>
          <t>宿舍卫生</t>
        </is>
      </c>
      <c r="B7" s="2" t="inlineStr">
        <is>
          <t>小勇</t>
        </is>
      </c>
      <c r="C7" s="2" t="inlineStr">
        <is>
          <t>行政部/后勤组</t>
        </is>
      </c>
      <c r="D7" s="2" t="inlineStr">
        <is>
          <t>王晓华</t>
        </is>
      </c>
      <c r="E7" s="2" t="inlineStr">
        <is>
          <t>“小勇”待核对</t>
        </is>
      </c>
      <c r="F7" s="2" t="inlineStr">
        <is>
          <t>未确认</t>
        </is>
      </c>
      <c r="G7" s="2" t="inlineStr">
        <is>
          <t>核实名字、岗位、直接上级；确认房东/公司边界</t>
        </is>
      </c>
      <c r="H7" s="2" t="inlineStr">
        <is>
          <t>会议纪要；组织架构模板/后勤组</t>
        </is>
      </c>
    </row>
    <row r="8">
      <c r="A8" s="2" t="inlineStr">
        <is>
          <t>活动红包</t>
        </is>
      </c>
      <c r="B8" s="2" t="inlineStr">
        <is>
          <t>王为何、王勇</t>
        </is>
      </c>
      <c r="C8" s="2" t="inlineStr">
        <is>
          <t>行政部、财务部</t>
        </is>
      </c>
      <c r="D8" s="2" t="inlineStr">
        <is>
          <t>王晓华（行政统筹）；王勇（财务）</t>
        </is>
      </c>
      <c r="E8" s="2" t="inlineStr">
        <is>
          <t>王勇；王为何待核对</t>
        </is>
      </c>
      <c r="F8" s="2" t="inlineStr">
        <is>
          <t>部分确认</t>
        </is>
      </c>
      <c r="G8" s="2" t="inlineStr">
        <is>
          <t>王为何身份、采购与发放责任、费用审批</t>
        </is>
      </c>
      <c r="H8" s="2" t="inlineStr">
        <is>
          <t>会议纪要；组织架构模板</t>
        </is>
      </c>
    </row>
    <row r="9">
      <c r="A9" s="2" t="inlineStr">
        <is>
          <t>仓储盘点</t>
        </is>
      </c>
      <c r="B9" s="2" t="inlineStr">
        <is>
          <t>各管理人员</t>
        </is>
      </c>
      <c r="C9" s="2" t="inlineStr">
        <is>
          <t>营运部/仓储组</t>
        </is>
      </c>
      <c r="D9" s="2" t="inlineStr">
        <is>
          <t>王晓华；王珊兰（仓储组）</t>
        </is>
      </c>
      <c r="E9" s="2" t="inlineStr">
        <is>
          <t>王珊兰、仓库员</t>
        </is>
      </c>
      <c r="F9" s="2" t="inlineStr">
        <is>
          <t>已能映射</t>
        </is>
      </c>
      <c r="G9" s="2" t="inlineStr">
        <is>
          <t>确认盘点责任、复核责任、模具配件台账责任</t>
        </is>
      </c>
      <c r="H9" s="2" t="inlineStr">
        <is>
          <t>组织架构模板/仓储组；会议纪要</t>
        </is>
      </c>
    </row>
  </sheetData>
  <autoFilter ref="A1:H9"/>
  <dataValidations count="1">
    <dataValidation sqref="F2:F100" showDropDown="0" showInputMessage="0" showErrorMessage="0" allowBlank="1" errorTitle="填写不规范" error="请从下拉选项中选择" promptTitle="填写提示" prompt="请选择标准值" type="list">
      <formula1>"已能映射,部分确认,待确认,未确认"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总经理会议事项跟进汇总</t>
        </is>
      </c>
    </row>
    <row r="3">
      <c r="A3" s="5" t="inlineStr">
        <is>
          <t>会议编号</t>
        </is>
      </c>
      <c r="B3" s="6" t="inlineStr">
        <is>
          <t>MTG-20261026</t>
        </is>
      </c>
    </row>
    <row r="4">
      <c r="A4" s="5" t="inlineStr">
        <is>
          <t>会议日期</t>
        </is>
      </c>
      <c r="B4" s="6" t="inlineStr">
        <is>
          <t>2026-10-26</t>
        </is>
      </c>
    </row>
    <row r="6">
      <c r="A6" s="5" t="inlineStr">
        <is>
          <t>行动事项总数</t>
        </is>
      </c>
      <c r="B6" s="6">
        <f>COUNTA('行动事项跟进'!A2:A100)</f>
        <v/>
      </c>
    </row>
    <row r="7">
      <c r="A7" s="5" t="inlineStr">
        <is>
          <t>待一对一约谈</t>
        </is>
      </c>
      <c r="B7" s="6">
        <f>COUNTIF('行动事项跟进'!K2:K100,"待约谈")</f>
        <v/>
      </c>
    </row>
    <row r="8">
      <c r="A8" s="5" t="inlineStr">
        <is>
          <t>已明确结果责任人</t>
        </is>
      </c>
      <c r="B8" s="6">
        <f>COUNTIF('责任人识别'!F2:F100,"已能映射")</f>
        <v/>
      </c>
    </row>
    <row r="9">
      <c r="A9" s="5" t="inlineStr">
        <is>
          <t>仍需确认责任人</t>
        </is>
      </c>
      <c r="B9" s="6">
        <f>COUNTIF('责任人识别'!F2:F100,"待确认")+COUNTIF('责任人识别'!F2:F100,"未确认")</f>
        <v/>
      </c>
    </row>
    <row r="10">
      <c r="A10" s="5" t="inlineStr">
        <is>
          <t>已关闭事项</t>
        </is>
      </c>
      <c r="B10" s="6">
        <f>COUNTIF('行动事项跟进'!K2:K100,"已关闭")</f>
        <v/>
      </c>
    </row>
    <row r="12" ht="60" customHeight="1">
      <c r="A12" s="5" t="inlineStr">
        <is>
          <t>总经理本次优先动作</t>
        </is>
      </c>
      <c r="B12" s="6" t="inlineStr">
        <is>
          <t>先约谈责任链不清的事项：安全会机制、技术电气排查、新员工带教保险、宿舍卫生“小勇”身份、活动红包王为何身份；确认后再正式下达截止日期。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标准会议纪要与总经理责任跟进模板｜本次会议已填入</t>
        </is>
      </c>
    </row>
    <row r="3" ht="44" customHeight="1">
      <c r="A3" s="7" t="inlineStr">
        <is>
          <t>用途</t>
        </is>
      </c>
      <c r="B3" s="6" t="inlineStr">
        <is>
          <t>把会议讨论从“记录”转化为：决议—行动事项—责任人—一对一约谈—验证证据—关闭。</t>
        </is>
      </c>
    </row>
    <row r="4" ht="44" customHeight="1">
      <c r="A4" s="7" t="inlineStr">
        <is>
          <t>使用顺序</t>
        </is>
      </c>
      <c r="B4" s="6" t="inlineStr">
        <is>
          <t>1. 阅读会议纪要；2. 总经理查看行动事项跟进；3. 按“总经理一对一约谈”逐人确认；4. 更新责任人识别中的待确认项；5. 用跟进汇总检查逾期和责任空缺。</t>
        </is>
      </c>
    </row>
    <row r="5" ht="44" customHeight="1">
      <c r="A5" s="7" t="inlineStr">
        <is>
          <t>责任识别原则</t>
        </is>
      </c>
      <c r="B5" s="6" t="inlineStr">
        <is>
          <t>优先使用现行组织架构中的部门负责人；会议明确点名的执行人保留为直接执行人；部门负责人承担结果责任。无法从纪要或架构确定的，不擅自指定，标为“待总经理确认”。</t>
        </is>
      </c>
    </row>
    <row r="6" ht="44" customHeight="1">
      <c r="A6" s="7" t="inlineStr">
        <is>
          <t>本次会议关键风险</t>
        </is>
      </c>
      <c r="B6" s="6" t="inlineStr">
        <is>
          <t>纪要中的“各管理人员”“主管人员”“各公司技术人员”“各班组组长”不是具体人员，若不补充具体责任人，后续无法追责。模板已把这些项目列入一对一约谈。</t>
        </is>
      </c>
    </row>
    <row r="7" ht="44" customHeight="1">
      <c r="A7" s="7" t="inlineStr">
        <is>
          <t>日期规则</t>
        </is>
      </c>
      <c r="B7" s="6" t="inlineStr">
        <is>
          <t>会议日期已填2026-10-26；明确日期的事项填入2026-11-04；每周六安全会保留为周期事项；纪要没有明确期限的事项不虚构截止日期，填“待确认”。</t>
        </is>
      </c>
    </row>
    <row r="8" ht="44" customHeight="1">
      <c r="A8" s="7" t="inlineStr">
        <is>
          <t>来源</t>
        </is>
      </c>
      <c r="B8" s="6" t="inlineStr">
        <is>
          <t>新厂搬迁安全会议部署落实工作_AI 摘要.pdf；会议时间：2026-10-26 18:28—19:42。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2026-10-26T12:17:30Z</dcterms:created>
  <dcterms:modified xsi:type="dcterms:W3CDTF">2026-10-26T12:17:30Z</dcterms:modified>
</cp:coreProperties>
</file>