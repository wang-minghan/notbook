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8696" tabRatio="600" firstSheet="0" activeTab="1" autoFilterDateGrouping="1"/>
  </bookViews>
  <sheets>
    <sheet xmlns:r="http://schemas.openxmlformats.org/officeDocument/2006/relationships" name="00_总览与说明" sheetId="1" state="visible" r:id="rId1"/>
    <sheet xmlns:r="http://schemas.openxmlformats.org/officeDocument/2006/relationships" name="01_组织架构图" sheetId="2" state="visible" r:id="rId2"/>
    <sheet xmlns:r="http://schemas.openxmlformats.org/officeDocument/2006/relationships" name="01_员工名单" sheetId="3" state="visible" r:id="rId3"/>
    <sheet xmlns:r="http://schemas.openxmlformats.org/officeDocument/2006/relationships" name="02_组织单元" sheetId="4" state="visible" r:id="rId4"/>
    <sheet xmlns:r="http://schemas.openxmlformats.org/officeDocument/2006/relationships" name="03_岗位字典" sheetId="5" state="visible" r:id="rId5"/>
    <sheet xmlns:r="http://schemas.openxmlformats.org/officeDocument/2006/relationships" name="04_RACI职责矩阵" sheetId="6" state="visible" r:id="rId6"/>
    <sheet xmlns:r="http://schemas.openxmlformats.org/officeDocument/2006/relationships" name="05_确认清单" sheetId="7" state="visible" r:id="rId7"/>
    <sheet xmlns:r="http://schemas.openxmlformats.org/officeDocument/2006/relationships" name="06_字段字典" sheetId="8" state="visible" r:id="rId8"/>
    <sheet xmlns:r="http://schemas.openxmlformats.org/officeDocument/2006/relationships" name="99_选项字典" sheetId="9" state="hidden" r:id="rId9"/>
  </sheets>
  <definedNames>
    <definedName name="Opt_RACI">'99_选项字典'!$I$2:$I$6</definedName>
    <definedName name="Opt_部门名称">'99_选项字典'!$K$2:$K$8</definedName>
    <definedName name="Opt_岗位名称">'99_选项字典'!$M$2:$M$27</definedName>
    <definedName name="Opt_岗位状态">'99_选项字典'!$G$2:$G$6</definedName>
    <definedName name="Opt_关键岗位">'99_选项字典'!$D$2:$D$4</definedName>
    <definedName name="Opt_管理确认人">'99_选项字典'!$N$2:$N$10</definedName>
    <definedName name="Opt_管理域">'99_选项字典'!$H$2:$H$14</definedName>
    <definedName name="Opt_确认状态">'99_选项字典'!$J$2:$J$6</definedName>
    <definedName name="Opt_人员状态">'99_选项字典'!$B$2:$B$7</definedName>
    <definedName name="Opt_任职性质">'99_选项字典'!$C$2:$C$6</definedName>
    <definedName name="Opt_组织层级">'99_选项字典'!$A$2:$A$8</definedName>
    <definedName name="Opt_组织单元">'99_选项字典'!$L$2:$L$20</definedName>
    <definedName name="Opt_组织类型">'99_选项字典'!$E$2:$E$8</definedName>
    <definedName name="Opt_组织状态">'99_选项字典'!$F$2:$F$6</definedName>
    <definedName name="_xlnm._FilterDatabase" localSheetId="2" hidden="1">'01_员工名单'!$A$4:$G$49</definedName>
    <definedName name="_xlnm._FilterDatabase" localSheetId="3" hidden="1">'02_组织单元'!$A$4:$O$25</definedName>
    <definedName name="_xlnm._FilterDatabase" localSheetId="4" hidden="1">'03_岗位字典'!$A$4:$L$80</definedName>
    <definedName name="_xlnm._FilterDatabase" localSheetId="5" hidden="1">'04_RACI职责矩阵'!$A$4:$Y$86</definedName>
    <definedName name="_xlnm._FilterDatabase" localSheetId="6" hidden="1">'05_确认清单'!$A$4:$L$64</definedName>
  </definedNames>
  <calcPr calcId="191029" fullCalcOnLoad="1" calcCompleted="0" forceFullCalc="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0.00_ "/>
  </numFmts>
  <fonts count="34">
    <font>
      <name val="宋体"/>
      <charset val="134"/>
      <color theme="1"/>
      <sz val="11"/>
      <scheme val="minor"/>
    </font>
    <font>
      <name val="宋体"/>
      <b val="1"/>
      <color rgb="FFFFFFFF"/>
      <sz val="11"/>
    </font>
    <font>
      <name val="Microsoft YaHei"/>
      <family val="2"/>
      <b val="1"/>
      <color rgb="FFFFFFFF"/>
      <sz val="18"/>
    </font>
    <font>
      <name val="Microsoft YaHei"/>
      <family val="2"/>
      <color rgb="FF44546A"/>
      <sz val="10"/>
    </font>
    <font>
      <name val="Microsoft YaHei"/>
      <family val="2"/>
      <b val="1"/>
      <color rgb="FFFFFFFF"/>
      <sz val="10"/>
    </font>
    <font>
      <name val="Microsoft YaHei"/>
      <family val="2"/>
      <sz val="10"/>
    </font>
    <font>
      <name val="Microsoft YaHei"/>
      <family val="2"/>
      <color rgb="FF262626"/>
      <sz val="10"/>
    </font>
    <font>
      <name val="Microsoft YaHei"/>
      <family val="2"/>
      <b val="1"/>
      <sz val="10"/>
    </font>
    <font>
      <name val="宋体"/>
      <color rgb="FFFF0000"/>
      <sz val="11"/>
      <scheme val="minor"/>
    </font>
    <font>
      <name val="Microsoft YaHei"/>
      <family val="2"/>
      <color rgb="FFFF0000"/>
      <sz val="10"/>
    </font>
    <font>
      <name val="Microsoft YaHei"/>
      <family val="2"/>
      <b val="1"/>
      <color rgb="FFFFFFFF"/>
      <sz val="16"/>
    </font>
    <font>
      <name val="Microsoft YaHei"/>
      <family val="2"/>
      <b val="1"/>
      <color rgb="FFFFFFFF"/>
      <sz val="11"/>
    </font>
    <font>
      <name val="Microsoft YaHei"/>
      <family val="2"/>
      <sz val="8"/>
    </font>
    <font>
      <name val="宋体"/>
      <color theme="1"/>
      <sz val="18"/>
      <scheme val="minor"/>
    </font>
    <font>
      <name val="Microsoft YaHei"/>
      <family val="2"/>
      <b val="1"/>
      <color rgb="FF1F4E78"/>
      <sz val="14"/>
    </font>
    <font>
      <name val="Microsoft YaHei"/>
      <family val="2"/>
      <i val="1"/>
      <color rgb="FF9C6500"/>
      <sz val="10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1"/>
      <scheme val="minor"/>
    </font>
    <font>
      <name val="微软雅黑"/>
      <b val="1"/>
      <color rgb="0014213D"/>
      <sz val="16"/>
    </font>
    <font>
      <name val="微软雅黑"/>
      <color rgb="00526277"/>
      <sz val="10"/>
    </font>
    <font>
      <name val="Microsoft YaHei"/>
      <family val="2"/>
      <b val="1"/>
      <color rgb="FF1F4E78"/>
      <sz val="10"/>
    </font>
    <font>
      <name val="Microsoft YaHei"/>
      <b val="1"/>
      <color rgb="0014213D"/>
      <sz val="10"/>
    </font>
    <font>
      <name val="Microsoft YaHei"/>
      <color rgb="00526277"/>
      <sz val="10"/>
    </font>
    <font>
      <name val="Microsoft YaHei"/>
      <b val="1"/>
      <color rgb="0014213D"/>
      <sz val="16"/>
    </font>
    <font>
      <name val="Microsoft YaHei"/>
      <charset val="134"/>
      <color theme="1"/>
      <sz val="10"/>
      <scheme val="minor"/>
    </font>
    <font>
      <name val="Microsoft YaHei"/>
      <b val="1"/>
      <color rgb="FFFFFFFF"/>
      <sz val="10"/>
    </font>
    <font>
      <name val="Microsoft YaHei"/>
      <b val="1"/>
      <color rgb="FFFFFFFF"/>
      <sz val="16"/>
    </font>
    <font>
      <name val="Microsoft YaHei"/>
      <charset val="134"/>
      <b val="1"/>
      <color theme="1"/>
      <sz val="10"/>
      <scheme val="minor"/>
    </font>
    <font>
      <name val="微软雅黑"/>
      <b val="1"/>
      <color rgb="00FFFFFF"/>
      <sz val="14"/>
    </font>
    <font>
      <name val="微软雅黑"/>
      <color rgb="001F1F1F"/>
      <sz val="10"/>
    </font>
    <font>
      <name val="微软雅黑"/>
      <b val="1"/>
      <color rgb="00FFFFFF"/>
      <sz val="10"/>
    </font>
    <font>
      <name val="微软雅黑"/>
      <b val="1"/>
      <color rgb="001F4E78"/>
      <sz val="10"/>
    </font>
    <font>
      <name val="微软雅黑"/>
      <b val="1"/>
      <color rgb="001F1F1F"/>
      <sz val="10"/>
    </font>
    <font>
      <name val="微软雅黑"/>
      <b val="1"/>
      <color rgb="00163A5F"/>
      <sz val="16"/>
    </font>
  </fonts>
  <fills count="15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EAF3F8"/>
        <bgColor indexed="64"/>
      </patternFill>
    </fill>
    <fill>
      <patternFill patternType="solid">
        <fgColor rgb="FFFAFCFE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001F4E78"/>
      </patternFill>
    </fill>
    <fill>
      <patternFill patternType="solid">
        <fgColor rgb="00F3F6F8"/>
      </patternFill>
    </fill>
    <fill>
      <patternFill patternType="solid">
        <fgColor rgb="00D9EAF7"/>
      </patternFill>
    </fill>
    <fill>
      <patternFill patternType="solid">
        <fgColor rgb="00B4C7E7"/>
      </patternFill>
    </fill>
    <fill>
      <patternFill patternType="solid">
        <fgColor rgb="00E2F0D9"/>
      </patternFill>
    </fill>
  </fills>
  <borders count="26">
    <border>
      <left/>
      <right/>
      <top/>
      <bottom/>
      <diagonal/>
    </border>
    <border>
      <left style="thin">
        <color rgb="FFC9D2D9"/>
      </left>
      <right style="thin">
        <color rgb="FFC9D2D9"/>
      </right>
      <top style="thin">
        <color rgb="FFC9D2D9"/>
      </top>
      <bottom style="thin">
        <color rgb="FFC9D2D9"/>
      </bottom>
      <diagonal/>
    </border>
    <border>
      <left style="thin">
        <color rgb="FFC9D2D9"/>
      </left>
      <right style="thin">
        <color rgb="FFC9D2D9"/>
      </right>
      <top style="thin">
        <color rgb="FFC9D2D9"/>
      </top>
      <bottom style="thin">
        <color auto="1"/>
      </bottom>
      <diagonal/>
    </border>
    <border>
      <left style="thin">
        <color rgb="FFC9D2D9"/>
      </left>
      <right style="thin">
        <color rgb="FFC9D2D9"/>
      </right>
      <top style="thin">
        <color auto="1"/>
      </top>
      <bottom style="thin">
        <color auto="1"/>
      </bottom>
      <diagonal/>
    </border>
    <border>
      <left style="thin">
        <color rgb="FFC9D2D9"/>
      </left>
      <right style="thin">
        <color rgb="FFC9D2D9"/>
      </right>
      <top style="thin">
        <color auto="1"/>
      </top>
      <bottom style="thin">
        <color rgb="FFC9D2D9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rgb="FFC9D2D9"/>
      </top>
      <bottom style="thin">
        <color rgb="FFC9D2D9"/>
      </bottom>
      <diagonal/>
    </border>
    <border>
      <left/>
      <right style="thin">
        <color rgb="FFC9D2D9"/>
      </right>
      <top style="thin">
        <color rgb="FFC9D2D9"/>
      </top>
      <bottom style="thin">
        <color rgb="FFC9D2D9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rgb="FFC9D2D9"/>
      </top>
      <bottom/>
      <diagonal/>
    </border>
    <border>
      <left/>
      <right style="thin">
        <color rgb="FFC9D2D9"/>
      </right>
      <top style="thin">
        <color rgb="FFC9D2D9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bottom style="medium">
        <color rgb="001F4E78"/>
      </bottom>
    </border>
    <border>
      <bottom style="thin">
        <color rgb="00B7C9D6"/>
      </bottom>
    </border>
    <border>
      <left style="thin">
        <color rgb="00B7C9D6"/>
      </left>
      <right style="thin">
        <color rgb="00B7C9D6"/>
      </right>
      <top style="medium">
        <color rgb="001F4E78"/>
      </top>
      <bottom style="medium">
        <color rgb="001F4E78"/>
      </bottom>
    </border>
    <border>
      <left style="thin">
        <color rgb="00B7C9D6"/>
      </left>
      <right style="thin">
        <color rgb="00B7C9D6"/>
      </right>
      <top style="thin">
        <color rgb="00B7C9D6"/>
      </top>
      <bottom style="medium">
        <color rgb="001F4E78"/>
      </bottom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  <border>
      <left/>
      <right/>
      <top/>
      <bottom style="thin">
        <color rgb="00B7C9D6"/>
      </bottom>
      <diagonal/>
    </border>
    <border>
      <left/>
      <right/>
      <top/>
      <bottom style="medium">
        <color rgb="001F4E78"/>
      </bottom>
      <diagonal/>
    </border>
  </borders>
  <cellStyleXfs count="1">
    <xf numFmtId="0" fontId="0" fillId="0" borderId="0"/>
  </cellStyleXfs>
  <cellXfs count="125">
    <xf numFmtId="0" fontId="0" fillId="0" borderId="0" pivotButton="0" quotePrefix="0" xfId="0"/>
    <xf numFmtId="0" fontId="1" fillId="2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164" fontId="6" fillId="0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164" fontId="6" fillId="5" borderId="1" applyAlignment="1" pivotButton="0" quotePrefix="0" xfId="0">
      <alignment vertical="top" wrapText="1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4" fillId="2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center" vertical="top" wrapText="1"/>
    </xf>
    <xf numFmtId="0" fontId="7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top" wrapText="1"/>
    </xf>
    <xf numFmtId="164" fontId="6" fillId="5" borderId="1" applyAlignment="1" pivotButton="0" quotePrefix="0" xfId="0">
      <alignment horizontal="center" vertical="top" wrapText="1"/>
    </xf>
    <xf numFmtId="0" fontId="8" fillId="0" borderId="0" pivotButton="0" quotePrefix="0" xfId="0"/>
    <xf numFmtId="0" fontId="9" fillId="5" borderId="1" applyAlignment="1" pivotButton="0" quotePrefix="0" xfId="0">
      <alignment vertical="top" wrapText="1"/>
    </xf>
    <xf numFmtId="0" fontId="9" fillId="5" borderId="1" applyAlignment="1" pivotButton="0" quotePrefix="0" xfId="0">
      <alignment horizontal="center" vertical="top" wrapText="1"/>
    </xf>
    <xf numFmtId="165" fontId="0" fillId="0" borderId="2" applyAlignment="1" pivotButton="0" quotePrefix="0" xfId="0">
      <alignment vertical="center" wrapText="1"/>
    </xf>
    <xf numFmtId="165" fontId="0" fillId="0" borderId="3" applyAlignment="1" pivotButton="0" quotePrefix="0" xfId="0">
      <alignment vertical="center" wrapText="1"/>
    </xf>
    <xf numFmtId="0" fontId="9" fillId="0" borderId="1" applyAlignment="1" pivotButton="0" quotePrefix="0" xfId="0">
      <alignment vertical="top" wrapText="1"/>
    </xf>
    <xf numFmtId="0" fontId="9" fillId="0" borderId="1" applyAlignment="1" pivotButton="0" quotePrefix="0" xfId="0">
      <alignment horizontal="center" vertical="top" wrapText="1"/>
    </xf>
    <xf numFmtId="165" fontId="0" fillId="0" borderId="4" applyAlignment="1" pivotButton="0" quotePrefix="0" xfId="0">
      <alignment vertical="center" wrapText="1"/>
    </xf>
    <xf numFmtId="0" fontId="11" fillId="2" borderId="1" applyAlignment="1" pivotButton="0" quotePrefix="0" xfId="0">
      <alignment horizontal="center" vertical="center" wrapText="1"/>
    </xf>
    <xf numFmtId="0" fontId="5" fillId="0" borderId="5" applyAlignment="1" pivotButton="0" quotePrefix="0" xfId="0">
      <alignment vertical="top" wrapText="1"/>
    </xf>
    <xf numFmtId="0" fontId="5" fillId="5" borderId="5" applyAlignment="1" pivotButton="0" quotePrefix="0" xfId="0">
      <alignment vertical="top" wrapText="1"/>
    </xf>
    <xf numFmtId="0" fontId="12" fillId="0" borderId="5" applyAlignment="1" pivotButton="0" quotePrefix="0" xfId="0">
      <alignment vertical="top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5" fillId="5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/>
    </xf>
    <xf numFmtId="0" fontId="14" fillId="9" borderId="1" applyAlignment="1" pivotButton="0" quotePrefix="0" xfId="0">
      <alignment vertical="center"/>
    </xf>
    <xf numFmtId="0" fontId="7" fillId="5" borderId="1" applyAlignment="1" pivotButton="0" quotePrefix="0" xfId="0">
      <alignment vertical="center"/>
    </xf>
    <xf numFmtId="0" fontId="14" fillId="5" borderId="1" applyAlignment="1" pivotButton="0" quotePrefix="0" xfId="0">
      <alignment vertical="center"/>
    </xf>
    <xf numFmtId="0" fontId="3" fillId="4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left" vertical="center"/>
    </xf>
    <xf numFmtId="0" fontId="5" fillId="7" borderId="1" applyAlignment="1" pivotButton="0" quotePrefix="0" xfId="0">
      <alignment vertical="center" wrapText="1"/>
    </xf>
    <xf numFmtId="0" fontId="0" fillId="0" borderId="9" pivotButton="0" quotePrefix="0" xfId="0"/>
    <xf numFmtId="0" fontId="0" fillId="0" borderId="10" pivotButton="0" quotePrefix="0" xfId="0"/>
    <xf numFmtId="0" fontId="5" fillId="5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/>
    </xf>
    <xf numFmtId="0" fontId="11" fillId="6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15" fillId="8" borderId="0" applyAlignment="1" pivotButton="0" quotePrefix="0" xfId="0">
      <alignment vertical="center" wrapText="1"/>
    </xf>
    <xf numFmtId="0" fontId="5" fillId="0" borderId="1" applyAlignment="1" pivotButton="0" quotePrefix="0" xfId="0">
      <alignment vertical="center"/>
    </xf>
    <xf numFmtId="0" fontId="5" fillId="8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1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3" fillId="4" borderId="0" applyAlignment="1" pivotButton="0" quotePrefix="0" xfId="0">
      <alignment vertical="center" wrapText="1"/>
    </xf>
    <xf numFmtId="0" fontId="10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/>
    </xf>
    <xf numFmtId="0" fontId="2" fillId="3" borderId="0" applyAlignment="1" pivotButton="0" quotePrefix="0" xfId="0">
      <alignment horizontal="center" vertical="center"/>
    </xf>
    <xf numFmtId="0" fontId="17" fillId="0" borderId="6" applyAlignment="1" pivotButton="0" quotePrefix="0" xfId="0">
      <alignment horizontal="center" vertical="center"/>
    </xf>
    <xf numFmtId="0" fontId="18" fillId="0" borderId="0" pivotButton="0" quotePrefix="0" xfId="0"/>
    <xf numFmtId="0" fontId="19" fillId="0" borderId="0" pivotButton="0" quotePrefix="0" xfId="0"/>
    <xf numFmtId="165" fontId="0" fillId="0" borderId="2" applyAlignment="1" pivotButton="0" quotePrefix="0" xfId="0">
      <alignment vertical="center" wrapText="1"/>
    </xf>
    <xf numFmtId="165" fontId="0" fillId="0" borderId="3" applyAlignment="1" pivotButton="0" quotePrefix="0" xfId="0">
      <alignment vertical="center" wrapText="1"/>
    </xf>
    <xf numFmtId="165" fontId="0" fillId="0" borderId="4" applyAlignment="1" pivotButton="0" quotePrefix="0" xfId="0">
      <alignment vertical="center" wrapText="1"/>
    </xf>
    <xf numFmtId="164" fontId="6" fillId="0" borderId="1" applyAlignment="1" pivotButton="0" quotePrefix="0" xfId="0">
      <alignment horizontal="center" vertical="top" wrapText="1"/>
    </xf>
    <xf numFmtId="164" fontId="6" fillId="5" borderId="1" applyAlignment="1" pivotButton="0" quotePrefix="0" xfId="0">
      <alignment horizontal="center" vertical="top" wrapText="1"/>
    </xf>
    <xf numFmtId="164" fontId="6" fillId="0" borderId="1" applyAlignment="1" pivotButton="0" quotePrefix="0" xfId="0">
      <alignment vertical="top" wrapText="1"/>
    </xf>
    <xf numFmtId="164" fontId="6" fillId="5" borderId="1" applyAlignment="1" pivotButton="0" quotePrefix="0" xfId="0">
      <alignment vertical="top" wrapText="1"/>
    </xf>
    <xf numFmtId="0" fontId="4" fillId="6" borderId="0" applyAlignment="1" pivotButton="0" quotePrefix="0" xfId="0">
      <alignment vertical="center"/>
    </xf>
    <xf numFmtId="0" fontId="20" fillId="9" borderId="1" applyAlignment="1" pivotButton="0" quotePrefix="0" xfId="0">
      <alignment vertical="center"/>
    </xf>
    <xf numFmtId="0" fontId="20" fillId="5" borderId="1" applyAlignment="1" pivotButton="0" quotePrefix="0" xfId="0">
      <alignment vertical="center"/>
    </xf>
    <xf numFmtId="0" fontId="23" fillId="0" borderId="0" applyAlignment="1" pivotButton="0" quotePrefix="0" xfId="0">
      <alignment vertical="center"/>
    </xf>
    <xf numFmtId="0" fontId="22" fillId="0" borderId="0" applyAlignment="1" pivotButton="0" quotePrefix="0" xfId="0">
      <alignment vertical="center"/>
    </xf>
    <xf numFmtId="0" fontId="5" fillId="0" borderId="5" applyAlignment="1" pivotButton="0" quotePrefix="0" xfId="0">
      <alignment vertical="center" wrapText="1"/>
    </xf>
    <xf numFmtId="0" fontId="5" fillId="5" borderId="5" applyAlignment="1" pivotButton="0" quotePrefix="0" xfId="0">
      <alignment vertical="center" wrapText="1"/>
    </xf>
    <xf numFmtId="0" fontId="24" fillId="0" borderId="0" applyAlignment="1" pivotButton="0" quotePrefix="0" xfId="0">
      <alignment vertical="center" wrapText="1"/>
    </xf>
    <xf numFmtId="0" fontId="9" fillId="5" borderId="1" applyAlignment="1" pivotButton="0" quotePrefix="0" xfId="0">
      <alignment vertical="center" wrapText="1"/>
    </xf>
    <xf numFmtId="165" fontId="24" fillId="0" borderId="2" applyAlignment="1" pivotButton="0" quotePrefix="0" xfId="0">
      <alignment vertical="center" wrapText="1"/>
    </xf>
    <xf numFmtId="0" fontId="9" fillId="0" borderId="1" applyAlignment="1" pivotButton="0" quotePrefix="0" xfId="0">
      <alignment vertical="center" wrapText="1"/>
    </xf>
    <xf numFmtId="165" fontId="24" fillId="0" borderId="3" applyAlignment="1" pivotButton="0" quotePrefix="0" xfId="0">
      <alignment vertical="center" wrapText="1"/>
    </xf>
    <xf numFmtId="0" fontId="6" fillId="5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165" fontId="24" fillId="0" borderId="4" applyAlignment="1" pivotButton="0" quotePrefix="0" xfId="0">
      <alignment vertical="center" wrapText="1"/>
    </xf>
    <xf numFmtId="0" fontId="24" fillId="0" borderId="0" applyAlignment="1" pivotButton="0" quotePrefix="0" xfId="0">
      <alignment vertical="center"/>
    </xf>
    <xf numFmtId="0" fontId="10" fillId="3" borderId="0" applyAlignment="1" pivotButton="0" quotePrefix="0" xfId="0">
      <alignment horizontal="left" vertical="center" wrapText="1"/>
    </xf>
    <xf numFmtId="0" fontId="10" fillId="3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26" fillId="2" borderId="0" applyAlignment="1" pivotButton="0" quotePrefix="0" xfId="0">
      <alignment vertical="center"/>
    </xf>
    <xf numFmtId="0" fontId="26" fillId="2" borderId="0" applyAlignment="1" pivotButton="0" quotePrefix="0" xfId="0">
      <alignment vertical="center" wrapText="1"/>
    </xf>
    <xf numFmtId="0" fontId="27" fillId="0" borderId="0" applyAlignment="1" pivotButton="0" quotePrefix="0" xfId="0">
      <alignment vertical="center"/>
    </xf>
    <xf numFmtId="0" fontId="27" fillId="0" borderId="0" applyAlignment="1" pivotButton="0" quotePrefix="0" xfId="0">
      <alignment vertical="center" wrapText="1"/>
    </xf>
    <xf numFmtId="0" fontId="28" fillId="10" borderId="19" applyAlignment="1" pivotButton="0" quotePrefix="0" xfId="0">
      <alignment horizontal="left" vertical="center"/>
    </xf>
    <xf numFmtId="0" fontId="28" fillId="10" borderId="19" applyAlignment="1" pivotButton="0" quotePrefix="0" xfId="0">
      <alignment horizontal="center" vertical="center"/>
    </xf>
    <xf numFmtId="0" fontId="29" fillId="11" borderId="20" applyAlignment="1" pivotButton="0" quotePrefix="0" xfId="0">
      <alignment vertical="center" wrapText="1"/>
    </xf>
    <xf numFmtId="0" fontId="31" fillId="12" borderId="22" applyAlignment="1" pivotButton="0" quotePrefix="0" xfId="0">
      <alignment horizontal="center" vertical="center" wrapText="1"/>
    </xf>
    <xf numFmtId="0" fontId="30" fillId="10" borderId="21" applyAlignment="1" pivotButton="0" quotePrefix="0" xfId="0">
      <alignment horizontal="center" vertical="center" wrapText="1"/>
    </xf>
    <xf numFmtId="0" fontId="32" fillId="13" borderId="23" applyAlignment="1" pivotButton="0" quotePrefix="0" xfId="0">
      <alignment horizontal="center" vertical="top" wrapText="1"/>
    </xf>
    <xf numFmtId="0" fontId="32" fillId="13" borderId="23" applyAlignment="1" pivotButton="0" quotePrefix="0" xfId="0">
      <alignment horizontal="left" vertical="top" wrapText="1"/>
    </xf>
    <xf numFmtId="165" fontId="32" fillId="13" borderId="23" applyAlignment="1" pivotButton="0" quotePrefix="0" xfId="0">
      <alignment horizontal="left" vertical="top" wrapText="1"/>
    </xf>
    <xf numFmtId="0" fontId="29" fillId="14" borderId="23" applyAlignment="1" pivotButton="0" quotePrefix="0" xfId="0">
      <alignment horizontal="center" vertical="top" wrapText="1"/>
    </xf>
    <xf numFmtId="0" fontId="29" fillId="14" borderId="23" applyAlignment="1" pivotButton="0" quotePrefix="0" xfId="0">
      <alignment horizontal="left" vertical="top" wrapText="1"/>
    </xf>
    <xf numFmtId="165" fontId="29" fillId="14" borderId="23" applyAlignment="1" pivotButton="0" quotePrefix="0" xfId="0">
      <alignment horizontal="left" vertical="top" wrapText="1"/>
    </xf>
    <xf numFmtId="0" fontId="29" fillId="12" borderId="23" applyAlignment="1" pivotButton="0" quotePrefix="0" xfId="0">
      <alignment horizontal="center" vertical="top" wrapText="1"/>
    </xf>
    <xf numFmtId="0" fontId="29" fillId="12" borderId="23" applyAlignment="1" pivotButton="0" quotePrefix="0" xfId="0">
      <alignment horizontal="left" vertical="top" wrapText="1"/>
    </xf>
    <xf numFmtId="165" fontId="29" fillId="12" borderId="23" applyAlignment="1" pivotButton="0" quotePrefix="0" xfId="0">
      <alignment horizontal="left" vertical="top" wrapText="1"/>
    </xf>
    <xf numFmtId="0" fontId="33" fillId="0" borderId="0" pivotButton="0" quotePrefix="0" xfId="0"/>
    <xf numFmtId="0" fontId="19" fillId="0" borderId="0" applyAlignment="1" pivotButton="0" quotePrefix="0" xfId="0">
      <alignment wrapText="1"/>
    </xf>
  </cellXfs>
  <cellStyles count="1">
    <cellStyle name="常规" xfId="0" builtinId="0"/>
  </cellStyles>
  <dxfs count="6">
    <dxf>
      <font>
        <b val="1"/>
        <color rgb="FFC00000"/>
      </font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ont>
        <color rgb="FF7F7F7F"/>
      </font>
      <fill>
        <patternFill patternType="solid">
          <fgColor rgb="FFF2F2F2"/>
        </patternFill>
      </fill>
    </dxf>
    <dxf>
      <font>
        <b val="1"/>
        <color rgb="FF9C6500"/>
      </font>
      <fill>
        <patternFill patternType="solid">
          <fgColor rgb="FFFFF2CC"/>
        </patternFill>
      </fill>
    </dxf>
    <dxf>
      <font>
        <b val="1"/>
        <color rgb="FF006100"/>
      </font>
      <fill>
        <patternFill patternType="solid">
          <fgColor rgb="FFE2F0D9"/>
        </patternFill>
      </fill>
    </dxf>
    <dxf>
      <font>
        <b val="1"/>
        <color rgb="FFC00000"/>
      </font>
      <fill>
        <patternFill patternType="solid">
          <fgColor rgb="FF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Hermes</author>
  </authors>
  <commentList>
    <comment ref="A4" authorId="0" shapeId="0">
      <text>
        <t>脱敏治理字段；完整敏感资料见 04_行政部/人事/鑫犇人员主数据.xlsx</t>
      </text>
    </comment>
    <comment ref="C4" authorId="0" shapeId="0">
      <text>
        <t>脱敏治理字段；完整敏感资料见 04_行政部/人事/鑫犇人员主数据.xlsx</t>
      </text>
    </comment>
    <comment ref="D4" authorId="0" shapeId="0">
      <text>
        <t>脱敏治理字段；完整敏感资料见 04_行政部/人事/鑫犇人员主数据.xlsx</t>
      </text>
    </comment>
    <comment ref="E4" authorId="0" shapeId="0">
      <text>
        <t>兼岗不写入主岗位名称；岗位名称必须与03_岗位字典完全一致。</t>
      </text>
    </comment>
    <comment ref="F4" authorId="0" shapeId="0">
      <text>
        <t>仅允许：外聘、正式、试用。</t>
      </text>
    </comment>
    <comment ref="G4" authorId="0" shapeId="0">
      <text>
        <t>脱敏治理字段；完整敏感资料见 04_行政部/人事/鑫犇人员主数据.xlsx</t>
      </text>
    </comment>
  </commentList>
</comments>
</file>

<file path=xl/comments/comment2.xml><?xml version="1.0" encoding="utf-8"?>
<comments xmlns="http://schemas.openxmlformats.org/spreadsheetml/2006/main">
  <authors>
    <author>Hermes</author>
  </authors>
  <commentList>
    <comment ref="B4" authorId="0" shapeId="0">
      <text>
        <t>下拉选择字段；不要手工改写标准名称。</t>
      </text>
    </comment>
    <comment ref="C4" authorId="0" shapeId="0">
      <text>
        <t>下拉选择字段；不要手工改写标准名称。</t>
      </text>
    </comment>
    <comment ref="G4" authorId="0" shapeId="0">
      <text>
        <t>下拉选择字段；不要手工改写标准名称。</t>
      </text>
    </comment>
  </commentList>
</comments>
</file>

<file path=xl/comments/comment3.xml><?xml version="1.0" encoding="utf-8"?>
<comments xmlns="http://schemas.openxmlformats.org/spreadsheetml/2006/main">
  <authors>
    <author>Hermes</author>
  </authors>
  <commentList>
    <comment ref="B4" authorId="0" shapeId="0">
      <text>
        <t>下拉选择字段；不要手工改写标准名称。</t>
      </text>
    </comment>
    <comment ref="C4" authorId="0" shapeId="0">
      <text>
        <t>下拉选择字段；不要手工改写标准名称。</t>
      </text>
    </comment>
    <comment ref="D4" authorId="0" shapeId="0">
      <text>
        <t>下拉选择字段；不要手工改写标准名称。</t>
      </text>
    </comment>
    <comment ref="E4" authorId="0" shapeId="0">
      <text>
        <t>下拉选择字段；不要手工改写标准名称。</t>
      </text>
    </comment>
  </commentList>
</comments>
</file>

<file path=xl/comments/comment4.xml><?xml version="1.0" encoding="utf-8"?>
<comments xmlns="http://schemas.openxmlformats.org/spreadsheetml/2006/main">
  <authors>
    <author>Hermes</author>
  </authors>
  <commentList>
    <comment ref="B4" authorId="0" shapeId="0">
      <text>
        <t>下拉选择字段；不要手工改写标准名称。</t>
      </text>
    </comment>
    <comment ref="G4" authorId="0" shapeId="0">
      <text>
        <t>下拉选择字段；不要手工改写标准名称。</t>
      </text>
    </comment>
    <comment ref="H4" authorId="0" shapeId="0">
      <text>
        <t>下拉选择字段；不要手工改写标准名称。</t>
      </text>
    </comment>
    <comment ref="I4" authorId="0" shapeId="0">
      <text>
        <t>下拉选择字段；不要手工改写标准名称。</t>
      </text>
    </comment>
    <comment ref="J4" authorId="0" shapeId="0">
      <text>
        <t>下拉选择字段；不要手工改写标准名称。</t>
      </text>
    </comment>
    <comment ref="K4" authorId="0" shapeId="0">
      <text>
        <t>下拉选择字段；不要手工改写标准名称。</t>
      </text>
    </comment>
    <comment ref="L4" authorId="0" shapeId="0">
      <text>
        <t>下拉选择字段；不要手工改写标准名称。</t>
      </text>
    </comment>
    <comment ref="M4" authorId="0" shapeId="0">
      <text>
        <t>下拉选择字段；不要手工改写标准名称。</t>
      </text>
    </comment>
    <comment ref="N4" authorId="0" shapeId="0">
      <text>
        <t>下拉选择字段；不要手工改写标准名称。</t>
      </text>
    </comment>
    <comment ref="O4" authorId="0" shapeId="0">
      <text>
        <t>下拉选择字段；不要手工改写标准名称。</t>
      </text>
    </comment>
    <comment ref="P4" authorId="0" shapeId="0">
      <text>
        <t>下拉选择字段；不要手工改写标准名称。</t>
      </text>
    </comment>
    <comment ref="R4" authorId="0" shapeId="0">
      <text>
        <t>下拉选择字段；不要手工改写标准名称。</t>
      </text>
    </comment>
    <comment ref="S4" authorId="0" shapeId="0">
      <text>
        <t>下拉选择字段；不要手工改写标准名称。</t>
      </text>
    </comment>
  </commentList>
</comments>
</file>

<file path=xl/comments/comment5.xml><?xml version="1.0" encoding="utf-8"?>
<comments xmlns="http://schemas.openxmlformats.org/spreadsheetml/2006/main">
  <authors>
    <author>Hermes</author>
  </authors>
  <commentList>
    <comment ref="D4" authorId="0" shapeId="0">
      <text>
        <t>下拉选择字段；不要手工改写标准名称。</t>
      </text>
    </comment>
    <comment ref="E4" authorId="0" shapeId="0">
      <text>
        <t>下拉选择字段；不要手工改写标准名称。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</row>
      <rowOff>0</rowOff>
    </from>
    <ext cx="17145000" cy="1219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1"/>
  <sheetViews>
    <sheetView showGridLines="0" zoomScale="90" zoomScaleNormal="90" workbookViewId="0">
      <pane ySplit="4" topLeftCell="A15" activePane="bottomLeft" state="frozen"/>
      <selection pane="bottomLeft" activeCell="C25" sqref="C25:J25"/>
    </sheetView>
  </sheetViews>
  <sheetFormatPr baseColWidth="8" defaultColWidth="9" defaultRowHeight="14.4"/>
  <cols>
    <col width="20" customWidth="1" style="42" min="1" max="1"/>
    <col width="18" customWidth="1" style="42" min="2" max="10"/>
  </cols>
  <sheetData>
    <row r="1" ht="30" customHeight="1" s="42">
      <c r="A1" s="66" t="inlineStr">
        <is>
          <t>鑫犇电子有限公司｜组织架构与职责矩阵模板</t>
        </is>
      </c>
    </row>
    <row r="2" ht="24" customHeight="1" s="42">
      <c r="A2" s="41" t="inlineStr">
        <is>
          <t>先填主数据，再生成管理结论。不要直接在RACI里凭感觉填部门名称；所有人员、部门、岗位先在主数据表建立唯一编号。</t>
        </is>
      </c>
    </row>
    <row r="3" ht="8" customHeight="1" s="42"/>
    <row r="4" ht="30" customHeight="1" s="42">
      <c r="A4" s="80" t="inlineStr">
        <is>
          <t>模板使用顺序</t>
        </is>
      </c>
    </row>
    <row r="5" ht="24" customHeight="1" s="42">
      <c r="A5" s="51" t="inlineStr">
        <is>
          <t>步骤</t>
        </is>
      </c>
      <c r="B5" s="51" t="inlineStr">
        <is>
          <t>工作表</t>
        </is>
      </c>
      <c r="C5" s="51" t="inlineStr">
        <is>
          <t>填写要求</t>
        </is>
      </c>
      <c r="D5" s="46" t="n"/>
      <c r="E5" s="46" t="n"/>
      <c r="F5" s="46" t="n"/>
      <c r="G5" s="46" t="n"/>
      <c r="H5" s="46" t="n"/>
      <c r="I5" s="46" t="n"/>
      <c r="J5" s="47" t="n"/>
    </row>
    <row r="6" ht="24" customHeight="1" s="42">
      <c r="A6" s="48" t="inlineStr">
        <is>
          <t>1</t>
        </is>
      </c>
      <c r="B6" s="48" t="inlineStr">
        <is>
          <t>01_员工名单</t>
        </is>
      </c>
      <c r="C6" s="48" t="inlineStr">
        <is>
          <t>一行一个人；员工ID和上级员工ID是组织树的骨架。</t>
        </is>
      </c>
      <c r="D6" s="46" t="n"/>
      <c r="E6" s="46" t="n"/>
      <c r="F6" s="46" t="n"/>
      <c r="G6" s="46" t="n"/>
      <c r="H6" s="46" t="n"/>
      <c r="I6" s="46" t="n"/>
      <c r="J6" s="47" t="n"/>
    </row>
    <row r="7" ht="24" customHeight="1" s="42">
      <c r="A7" s="55" t="inlineStr">
        <is>
          <t>2</t>
        </is>
      </c>
      <c r="B7" s="55" t="inlineStr">
        <is>
          <t>02_组织单元</t>
        </is>
      </c>
      <c r="C7" s="55" t="inlineStr">
        <is>
          <t>一行一个部门/班组/项目组；组织单元ID必须唯一。</t>
        </is>
      </c>
      <c r="D7" s="46" t="n"/>
      <c r="E7" s="46" t="n"/>
      <c r="F7" s="46" t="n"/>
      <c r="G7" s="46" t="n"/>
      <c r="H7" s="46" t="n"/>
      <c r="I7" s="46" t="n"/>
      <c r="J7" s="47" t="n"/>
    </row>
    <row r="8" ht="24" customHeight="1" s="42">
      <c r="A8" s="48" t="inlineStr">
        <is>
          <t>3</t>
        </is>
      </c>
      <c r="B8" s="48" t="inlineStr">
        <is>
          <t>03_岗位字典</t>
        </is>
      </c>
      <c r="C8" s="48" t="inlineStr">
        <is>
          <t>一行一个岗位；岗位ID用于后续职责、能力和替代人管理。</t>
        </is>
      </c>
      <c r="D8" s="46" t="n"/>
      <c r="E8" s="46" t="n"/>
      <c r="F8" s="46" t="n"/>
      <c r="G8" s="46" t="n"/>
      <c r="H8" s="46" t="n"/>
      <c r="I8" s="46" t="n"/>
      <c r="J8" s="47" t="n"/>
    </row>
    <row r="9" ht="24" customHeight="1" s="42">
      <c r="A9" s="55" t="inlineStr">
        <is>
          <t>4</t>
        </is>
      </c>
      <c r="B9" s="55" t="inlineStr">
        <is>
          <t>04_RACI职责矩阵</t>
        </is>
      </c>
      <c r="C9" s="55" t="inlineStr">
        <is>
          <t>一行一项管理活动；每行只能有一个A，至少一个R。</t>
        </is>
      </c>
      <c r="D9" s="46" t="n"/>
      <c r="E9" s="46" t="n"/>
      <c r="F9" s="46" t="n"/>
      <c r="G9" s="46" t="n"/>
      <c r="H9" s="46" t="n"/>
      <c r="I9" s="46" t="n"/>
      <c r="J9" s="47" t="n"/>
    </row>
    <row r="10" ht="24" customHeight="1" s="42">
      <c r="A10" s="48" t="inlineStr">
        <is>
          <t>5</t>
        </is>
      </c>
      <c r="B10" s="48" t="inlineStr">
        <is>
          <t>05_确认清单</t>
        </is>
      </c>
      <c r="C10" s="48" t="inlineStr">
        <is>
          <t>将负责人、审批权、兼岗和边界争议登记，不要靠口头记忆。</t>
        </is>
      </c>
      <c r="D10" s="46" t="n"/>
      <c r="E10" s="46" t="n"/>
      <c r="F10" s="46" t="n"/>
      <c r="G10" s="46" t="n"/>
      <c r="H10" s="46" t="n"/>
      <c r="I10" s="46" t="n"/>
      <c r="J10" s="47" t="n"/>
    </row>
    <row r="11" ht="24" customHeight="1" s="42"/>
    <row r="12" ht="24" customHeight="1" s="42"/>
    <row r="13" ht="24" customHeight="1" s="42">
      <c r="A13" s="80" t="inlineStr">
        <is>
          <t>质量规则（必须遵守）</t>
        </is>
      </c>
    </row>
    <row r="14" ht="24" customHeight="1" s="42">
      <c r="A14" s="45" t="inlineStr">
        <is>
          <t>• 组织树：根节点只有一个；除根节点外，每个人必须有且只有一个直接上级员工ID。</t>
        </is>
      </c>
      <c r="B14" s="46" t="n"/>
      <c r="C14" s="46" t="n"/>
      <c r="D14" s="46" t="n"/>
      <c r="E14" s="46" t="n"/>
      <c r="F14" s="46" t="n"/>
      <c r="G14" s="46" t="n"/>
      <c r="H14" s="46" t="n"/>
      <c r="I14" s="46" t="n"/>
      <c r="J14" s="47" t="n"/>
    </row>
    <row r="15" ht="24" customHeight="1" s="42">
      <c r="A15" s="54" t="inlineStr">
        <is>
          <t>• RACI：每项活动必须且只能有一个A；没有A的事项不能视为已授权；至少一个R负责执行。</t>
        </is>
      </c>
      <c r="B15" s="46" t="n"/>
      <c r="C15" s="46" t="n"/>
      <c r="D15" s="46" t="n"/>
      <c r="E15" s="46" t="n"/>
      <c r="F15" s="46" t="n"/>
      <c r="G15" s="46" t="n"/>
      <c r="H15" s="46" t="n"/>
      <c r="I15" s="46" t="n"/>
      <c r="J15" s="47" t="n"/>
    </row>
    <row r="16" ht="24" customHeight="1" s="42">
      <c r="A16" s="54" t="inlineStr">
        <is>
          <t>• 职责：A是最终对结果负责和有批准权的人，不是“参与过的人”；R是实际做事的人。</t>
        </is>
      </c>
      <c r="B16" s="46" t="n"/>
      <c r="C16" s="46" t="n"/>
      <c r="D16" s="46" t="n"/>
      <c r="E16" s="46" t="n"/>
      <c r="F16" s="46" t="n"/>
      <c r="G16" s="46" t="n"/>
      <c r="H16" s="46" t="n"/>
      <c r="I16" s="46" t="n"/>
      <c r="J16" s="47" t="n"/>
    </row>
    <row r="17" ht="24" customHeight="1" s="42">
      <c r="A17" s="45" t="inlineStr">
        <is>
          <t>• 状态：当前事实和未来规划分开；不确定信息统一写“待确认”，不得凭经验补全。</t>
        </is>
      </c>
      <c r="B17" s="46" t="n"/>
      <c r="C17" s="46" t="n"/>
      <c r="D17" s="46" t="n"/>
      <c r="E17" s="46" t="n"/>
      <c r="F17" s="46" t="n"/>
      <c r="G17" s="46" t="n"/>
      <c r="H17" s="46" t="n"/>
      <c r="I17" s="46" t="n"/>
      <c r="J17" s="47" t="n"/>
    </row>
    <row r="18" ht="24" customHeight="1" s="42">
      <c r="A18" s="45" t="inlineStr">
        <is>
          <t>• 版本：修改组织关系、岗位或职责矩阵时，填写变更日期、变更原因和确认人。</t>
        </is>
      </c>
      <c r="B18" s="46" t="n"/>
      <c r="C18" s="46" t="n"/>
      <c r="D18" s="46" t="n"/>
      <c r="E18" s="46" t="n"/>
      <c r="F18" s="46" t="n"/>
      <c r="G18" s="46" t="n"/>
      <c r="H18" s="46" t="n"/>
      <c r="I18" s="46" t="n"/>
      <c r="J18" s="47" t="n"/>
    </row>
    <row r="19" ht="24" customHeight="1" s="42"/>
    <row r="20" ht="24" customHeight="1" s="42"/>
    <row r="21" ht="24" customHeight="1" s="42">
      <c r="A21" s="80" t="inlineStr">
        <is>
          <t>自动检查看板</t>
        </is>
      </c>
    </row>
    <row r="22" ht="24" customHeight="1" s="42">
      <c r="A22" s="51" t="inlineStr">
        <is>
          <t>指标</t>
        </is>
      </c>
      <c r="B22" s="51" t="inlineStr">
        <is>
          <t>数值</t>
        </is>
      </c>
      <c r="C22" s="51" t="inlineStr">
        <is>
          <t>解释</t>
        </is>
      </c>
      <c r="D22" s="46" t="n"/>
      <c r="E22" s="46" t="n"/>
      <c r="F22" s="46" t="n"/>
      <c r="G22" s="46" t="n"/>
      <c r="H22" s="46" t="n"/>
      <c r="I22" s="46" t="n"/>
      <c r="J22" s="47" t="n"/>
    </row>
    <row r="23" ht="24" customHeight="1" s="42">
      <c r="A23" s="37" t="inlineStr">
        <is>
          <t>人员总数</t>
        </is>
      </c>
      <c r="B23" s="81">
        <f>COUNTIF('01_员工名单'!A5:A102,"&lt;&gt;")</f>
        <v/>
      </c>
      <c r="C23" s="53" t="inlineStr">
        <is>
          <t>填写数据后自动统计</t>
        </is>
      </c>
      <c r="D23" s="46" t="n"/>
      <c r="E23" s="46" t="n"/>
      <c r="F23" s="46" t="n"/>
      <c r="G23" s="46" t="n"/>
      <c r="H23" s="46" t="n"/>
      <c r="I23" s="46" t="n"/>
      <c r="J23" s="47" t="n"/>
    </row>
    <row r="24" ht="24" customHeight="1" s="42">
      <c r="A24" s="39" t="inlineStr">
        <is>
          <t>在岗人数</t>
        </is>
      </c>
      <c r="B24" s="82">
        <f>COUNTIFS('01_员工名单'!A5:A102,"&lt;&gt;",'01_员工名单'!G5:G102,"在岗")</f>
        <v/>
      </c>
      <c r="C24" s="49" t="inlineStr">
        <is>
          <t>填写数据后自动统计</t>
        </is>
      </c>
      <c r="D24" s="46" t="n"/>
      <c r="E24" s="46" t="n"/>
      <c r="F24" s="46" t="n"/>
      <c r="G24" s="46" t="n"/>
      <c r="H24" s="46" t="n"/>
      <c r="I24" s="46" t="n"/>
      <c r="J24" s="47" t="n"/>
    </row>
    <row r="25" ht="24" customHeight="1" s="42">
      <c r="A25" s="37" t="inlineStr">
        <is>
          <t>组织单元数</t>
        </is>
      </c>
      <c r="B25" s="81">
        <f>COUNTIF('02_组织单元'!A5:A52,"&lt;&gt;")</f>
        <v/>
      </c>
      <c r="C25" s="53" t="inlineStr">
        <is>
          <t>填写数据后自动统计</t>
        </is>
      </c>
      <c r="D25" s="46" t="n"/>
      <c r="E25" s="46" t="n"/>
      <c r="F25" s="46" t="n"/>
      <c r="G25" s="46" t="n"/>
      <c r="H25" s="46" t="n"/>
      <c r="I25" s="46" t="n"/>
      <c r="J25" s="47" t="n"/>
    </row>
    <row r="26" ht="24" customHeight="1" s="42">
      <c r="A26" s="39" t="inlineStr">
        <is>
          <t>岗位数</t>
        </is>
      </c>
      <c r="B26" s="82">
        <f>COUNTIF('03_岗位字典'!A5:A80,"&lt;&gt;")</f>
        <v/>
      </c>
      <c r="C26" s="49" t="inlineStr">
        <is>
          <t>填写数据后自动统计</t>
        </is>
      </c>
      <c r="D26" s="46" t="n"/>
      <c r="E26" s="46" t="n"/>
      <c r="F26" s="46" t="n"/>
      <c r="G26" s="46" t="n"/>
      <c r="H26" s="46" t="n"/>
      <c r="I26" s="46" t="n"/>
      <c r="J26" s="47" t="n"/>
    </row>
    <row r="27" ht="24" customHeight="1" s="42">
      <c r="A27" s="37" t="inlineStr">
        <is>
          <t>RACI事项数</t>
        </is>
      </c>
      <c r="B27" s="81">
        <f>COUNTIF('04_RACI职责矩阵'!A5:A86,"&lt;&gt;")</f>
        <v/>
      </c>
      <c r="C27" s="53" t="inlineStr">
        <is>
          <t>填写数据后自动统计</t>
        </is>
      </c>
      <c r="D27" s="46" t="n"/>
      <c r="E27" s="46" t="n"/>
      <c r="F27" s="46" t="n"/>
      <c r="G27" s="46" t="n"/>
      <c r="H27" s="46" t="n"/>
      <c r="I27" s="46" t="n"/>
      <c r="J27" s="47" t="n"/>
    </row>
    <row r="28" ht="24" customHeight="1" s="42">
      <c r="A28" s="39" t="inlineStr">
        <is>
          <t>RACI待修正事项</t>
        </is>
      </c>
      <c r="B28" s="82">
        <f>COUNTIF('04_RACI职责矩阵'!V5:V86,"&lt;&gt;OK")-COUNTBLANK('04_RACI职责矩阵'!A5:A86)</f>
        <v/>
      </c>
      <c r="C28" s="49" t="inlineStr">
        <is>
          <t>填写数据后自动统计</t>
        </is>
      </c>
      <c r="D28" s="46" t="n"/>
      <c r="E28" s="46" t="n"/>
      <c r="F28" s="46" t="n"/>
      <c r="G28" s="46" t="n"/>
      <c r="H28" s="46" t="n"/>
      <c r="I28" s="46" t="n"/>
      <c r="J28" s="47" t="n"/>
    </row>
    <row r="29" ht="24" customHeight="1" s="42"/>
    <row r="30" ht="24" customHeight="1" s="42">
      <c r="A30" s="52" t="inlineStr">
        <is>
          <t>本次已填入：惠州市鑫犇电子有限公司原始组织机构图中的2个公司岗位、5个部门、12个下属组织/岗位单元。组织架构骨架已确认；未完成事项仅在“05_确认清单”中跟踪。</t>
        </is>
      </c>
    </row>
    <row r="31" ht="24" customHeight="1" s="42">
      <c r="A31" s="52" t="inlineStr">
        <is>
          <t>已吸收：组织机构.xlsx、附件3岗位职责文件、职工名册20260808；员工主数据只保留姓名、工种、编号和组织归属，敏感身份与联系方式不复制。</t>
        </is>
      </c>
    </row>
  </sheetData>
  <mergeCells count="25">
    <mergeCell ref="A14:J14"/>
    <mergeCell ref="A17:J17"/>
    <mergeCell ref="C6:J6"/>
    <mergeCell ref="C24:J24"/>
    <mergeCell ref="A4:J4"/>
    <mergeCell ref="C5:J5"/>
    <mergeCell ref="A13:J13"/>
    <mergeCell ref="C26:J26"/>
    <mergeCell ref="A31:J31"/>
    <mergeCell ref="C25:J25"/>
    <mergeCell ref="C10:J10"/>
    <mergeCell ref="A30:J30"/>
    <mergeCell ref="A15:J15"/>
    <mergeCell ref="C22:J22"/>
    <mergeCell ref="C9:J9"/>
    <mergeCell ref="A1:J1"/>
    <mergeCell ref="C27:J27"/>
    <mergeCell ref="A16:J16"/>
    <mergeCell ref="C23:J23"/>
    <mergeCell ref="C8:J8"/>
    <mergeCell ref="C7:J7"/>
    <mergeCell ref="A18:J18"/>
    <mergeCell ref="A21:J21"/>
    <mergeCell ref="C28:J28"/>
    <mergeCell ref="A2:J2"/>
  </mergeCells>
  <pageMargins left="0.25" right="0.25" top="0.45" bottom="0.45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showGridLines="0" zoomScale="85" workbookViewId="0">
      <selection activeCell="A1" sqref="A1"/>
    </sheetView>
  </sheetViews>
  <sheetFormatPr baseColWidth="8" defaultRowHeight="15"/>
  <sheetData>
    <row r="1">
      <c r="A1" s="123" t="inlineStr">
        <is>
          <t>鑫犇电子有限公司｜现行组织架构图</t>
        </is>
      </c>
    </row>
    <row r="2">
      <c r="A2" s="124" t="inlineStr">
        <is>
          <t>最终确认版：公司为最高层级，董事长与总经理同属公司层级。结构化数据以“02_组织单元”为准。</t>
        </is>
      </c>
    </row>
    <row r="3">
      <c r="A3" s="124" t="inlineStr">
        <is>
          <t>总经理负责统筹五个一级部门；品质部由制程巡检组、成品出货检验组组成，后者承担来料、成品与出货检验。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9"/>
  <sheetViews>
    <sheetView showGridLines="0" workbookViewId="0">
      <pane ySplit="4" topLeftCell="A5" activePane="bottomLeft" state="frozen"/>
      <selection pane="bottomLeft" activeCell="D23" sqref="D23"/>
    </sheetView>
  </sheetViews>
  <sheetFormatPr baseColWidth="8" defaultColWidth="9" defaultRowHeight="14.4"/>
  <cols>
    <col width="14" customWidth="1" style="42" min="1" max="2"/>
    <col width="16" customWidth="1" style="42" min="2" max="2"/>
    <col width="16" customWidth="1" style="42" min="3" max="3"/>
    <col width="24" customWidth="1" style="42" min="4" max="4"/>
    <col width="24" customWidth="1" style="42" min="5" max="5"/>
    <col width="14" customWidth="1" style="42" min="6" max="6"/>
    <col width="12" customWidth="1" style="42" min="7" max="7"/>
  </cols>
  <sheetData>
    <row r="1" ht="30" customHeight="1" s="42">
      <c r="A1" s="66" t="inlineStr">
        <is>
          <t>01｜员工名单</t>
        </is>
      </c>
    </row>
    <row r="2" ht="24" customHeight="1" s="42">
      <c r="A2" s="65" t="inlineStr">
        <is>
          <t>用途：组织治理、职责分配和人员规模确认。完整人事敏感资料仅在人事主数据中管理。</t>
        </is>
      </c>
    </row>
    <row r="3" ht="8" customHeight="1" s="42"/>
    <row r="4" ht="30" customHeight="1" s="42">
      <c r="A4" s="51" t="inlineStr">
        <is>
          <t>员工ID</t>
        </is>
      </c>
      <c r="B4" s="51" t="inlineStr">
        <is>
          <t>上级员工ID</t>
        </is>
      </c>
      <c r="C4" s="51" t="inlineStr">
        <is>
          <t>姓名</t>
        </is>
      </c>
      <c r="D4" s="51" t="inlineStr">
        <is>
          <t>岗位名称</t>
        </is>
      </c>
      <c r="E4" s="51" t="inlineStr">
        <is>
          <t>兼任岗位</t>
        </is>
      </c>
      <c r="F4" s="51" t="inlineStr">
        <is>
          <t>员工任职阶段</t>
        </is>
      </c>
      <c r="G4" s="51" t="inlineStr">
        <is>
          <t>人员状态</t>
        </is>
      </c>
    </row>
    <row r="5" ht="24" customHeight="1" s="42">
      <c r="A5" s="85" t="inlineStr">
        <is>
          <t>EMP-0001</t>
        </is>
      </c>
      <c r="B5" s="85" t="inlineStr">
        <is>
          <t>EMP-0019</t>
        </is>
      </c>
      <c r="C5" s="85" t="inlineStr">
        <is>
          <t>王小平</t>
        </is>
      </c>
      <c r="D5" s="85" t="inlineStr">
        <is>
          <t>生产部负责人</t>
        </is>
      </c>
      <c r="E5" s="29" t="n"/>
      <c r="F5" s="85" t="inlineStr">
        <is>
          <t>正式员工</t>
        </is>
      </c>
      <c r="G5" s="85" t="inlineStr">
        <is>
          <t>在岗</t>
        </is>
      </c>
    </row>
    <row r="6" ht="24" customHeight="1" s="42">
      <c r="A6" s="85" t="inlineStr">
        <is>
          <t>EMP-0002</t>
        </is>
      </c>
      <c r="B6" s="86" t="inlineStr">
        <is>
          <t>EMP-0019</t>
        </is>
      </c>
      <c r="C6" s="86" t="inlineStr">
        <is>
          <t>王立芳</t>
        </is>
      </c>
      <c r="D6" s="86" t="inlineStr">
        <is>
          <t>品质组长</t>
        </is>
      </c>
      <c r="E6" s="30" t="n"/>
      <c r="F6" s="86" t="inlineStr">
        <is>
          <t>正式员工</t>
        </is>
      </c>
      <c r="G6" s="86" t="inlineStr">
        <is>
          <t>在岗</t>
        </is>
      </c>
    </row>
    <row r="7" ht="24" customHeight="1" s="42">
      <c r="A7" s="85" t="inlineStr">
        <is>
          <t>EMP-0003</t>
        </is>
      </c>
      <c r="B7" s="85" t="inlineStr">
        <is>
          <t>EMP-0017</t>
        </is>
      </c>
      <c r="C7" s="85" t="inlineStr">
        <is>
          <t>尹宗琴</t>
        </is>
      </c>
      <c r="D7" s="85" t="inlineStr">
        <is>
          <t>质检员</t>
        </is>
      </c>
      <c r="E7" s="29" t="n"/>
      <c r="F7" s="85" t="inlineStr">
        <is>
          <t>正式员工</t>
        </is>
      </c>
      <c r="G7" s="85" t="inlineStr">
        <is>
          <t>在岗</t>
        </is>
      </c>
    </row>
    <row r="8" ht="24" customHeight="1" s="42">
      <c r="A8" s="85" t="inlineStr">
        <is>
          <t>EMP-0004</t>
        </is>
      </c>
      <c r="B8" s="86" t="inlineStr">
        <is>
          <t>EMP-0017</t>
        </is>
      </c>
      <c r="C8" s="86" t="inlineStr">
        <is>
          <t>伍伟</t>
        </is>
      </c>
      <c r="D8" s="85" t="inlineStr">
        <is>
          <t>质检员</t>
        </is>
      </c>
      <c r="E8" s="30" t="n"/>
      <c r="F8" s="86" t="inlineStr">
        <is>
          <t>正式员工</t>
        </is>
      </c>
      <c r="G8" s="86" t="inlineStr">
        <is>
          <t>在岗</t>
        </is>
      </c>
    </row>
    <row r="9" ht="24" customHeight="1" s="42">
      <c r="A9" s="85" t="inlineStr">
        <is>
          <t>EMP-0005</t>
        </is>
      </c>
      <c r="B9" s="85" t="inlineStr">
        <is>
          <t>EMP-0017</t>
        </is>
      </c>
      <c r="C9" s="85" t="inlineStr">
        <is>
          <t>余永满</t>
        </is>
      </c>
      <c r="D9" s="85" t="inlineStr">
        <is>
          <t>质检员</t>
        </is>
      </c>
      <c r="E9" s="30" t="n"/>
      <c r="F9" s="85" t="inlineStr">
        <is>
          <t>正式员工</t>
        </is>
      </c>
      <c r="G9" s="85" t="inlineStr">
        <is>
          <t>在岗</t>
        </is>
      </c>
    </row>
    <row r="10" ht="24" customHeight="1" s="42">
      <c r="A10" s="85" t="inlineStr">
        <is>
          <t>EMP-0006</t>
        </is>
      </c>
      <c r="B10" s="86" t="inlineStr">
        <is>
          <t>EMP-0017</t>
        </is>
      </c>
      <c r="C10" s="86" t="inlineStr">
        <is>
          <t>雷杰</t>
        </is>
      </c>
      <c r="D10" s="85" t="inlineStr">
        <is>
          <t>质检员</t>
        </is>
      </c>
      <c r="E10" s="30" t="n"/>
      <c r="F10" s="86" t="inlineStr">
        <is>
          <t>正式员工</t>
        </is>
      </c>
      <c r="G10" s="86" t="inlineStr">
        <is>
          <t>在岗</t>
        </is>
      </c>
    </row>
    <row r="11" ht="24" customHeight="1" s="42">
      <c r="A11" s="85" t="inlineStr">
        <is>
          <t>EMP-0007</t>
        </is>
      </c>
      <c r="B11" s="85" t="inlineStr">
        <is>
          <t>EMP-0017</t>
        </is>
      </c>
      <c r="C11" s="85" t="inlineStr">
        <is>
          <t>李伟芳</t>
        </is>
      </c>
      <c r="D11" s="85" t="inlineStr">
        <is>
          <t>质检员</t>
        </is>
      </c>
      <c r="E11" s="29" t="n"/>
      <c r="F11" s="85" t="inlineStr">
        <is>
          <t>正式员工</t>
        </is>
      </c>
      <c r="G11" s="85" t="inlineStr">
        <is>
          <t>在岗</t>
        </is>
      </c>
    </row>
    <row r="12" ht="24" customHeight="1" s="42">
      <c r="A12" s="85" t="inlineStr">
        <is>
          <t>EMP-0008</t>
        </is>
      </c>
      <c r="B12" s="86" t="inlineStr">
        <is>
          <t>EMP-0020</t>
        </is>
      </c>
      <c r="C12" s="86" t="inlineStr">
        <is>
          <t>余永珍</t>
        </is>
      </c>
      <c r="D12" s="86" t="inlineStr">
        <is>
          <t>炊事员</t>
        </is>
      </c>
      <c r="E12" s="30" t="n"/>
      <c r="F12" s="86" t="inlineStr">
        <is>
          <t>正式员工</t>
        </is>
      </c>
      <c r="G12" s="86" t="inlineStr">
        <is>
          <t>在岗</t>
        </is>
      </c>
    </row>
    <row r="13" ht="24" customHeight="1" s="42">
      <c r="A13" s="85" t="inlineStr">
        <is>
          <t>EMP-0009</t>
        </is>
      </c>
      <c r="B13" s="85" t="inlineStr">
        <is>
          <t>EMP-0020</t>
        </is>
      </c>
      <c r="C13" s="85" t="inlineStr">
        <is>
          <t>杨达友</t>
        </is>
      </c>
      <c r="D13" s="85" t="inlineStr">
        <is>
          <t>门卫</t>
        </is>
      </c>
      <c r="E13" s="29" t="n"/>
      <c r="F13" s="85" t="inlineStr">
        <is>
          <t>正式员工</t>
        </is>
      </c>
      <c r="G13" s="85" t="inlineStr">
        <is>
          <t>在岗</t>
        </is>
      </c>
    </row>
    <row r="14" ht="24" customHeight="1" s="42">
      <c r="A14" s="85" t="inlineStr">
        <is>
          <t>EMP-0010</t>
        </is>
      </c>
      <c r="B14" s="86" t="inlineStr">
        <is>
          <t>EMP-0020</t>
        </is>
      </c>
      <c r="C14" s="86" t="inlineStr">
        <is>
          <t>尹昌廷</t>
        </is>
      </c>
      <c r="D14" s="86" t="inlineStr">
        <is>
          <t>门卫</t>
        </is>
      </c>
      <c r="E14" s="30" t="n"/>
      <c r="F14" s="86" t="inlineStr">
        <is>
          <t>正式员工</t>
        </is>
      </c>
      <c r="G14" s="86" t="inlineStr">
        <is>
          <t>在岗</t>
        </is>
      </c>
    </row>
    <row r="15" ht="24" customHeight="1" s="42">
      <c r="A15" s="85" t="inlineStr">
        <is>
          <t>EMP-0011</t>
        </is>
      </c>
      <c r="B15" s="85" t="inlineStr">
        <is>
          <t>EMP-0013</t>
        </is>
      </c>
      <c r="C15" s="85" t="inlineStr">
        <is>
          <t>冯文举</t>
        </is>
      </c>
      <c r="D15" s="85" t="inlineStr">
        <is>
          <t>仓库员</t>
        </is>
      </c>
      <c r="E15" s="29" t="n"/>
      <c r="F15" s="85" t="inlineStr">
        <is>
          <t>正式员工</t>
        </is>
      </c>
      <c r="G15" s="85" t="inlineStr">
        <is>
          <t>在岗</t>
        </is>
      </c>
    </row>
    <row r="16" ht="24" customHeight="1" s="42">
      <c r="A16" s="85" t="inlineStr">
        <is>
          <t>EMP-0012</t>
        </is>
      </c>
      <c r="B16" s="86" t="inlineStr">
        <is>
          <t>EMP-0013</t>
        </is>
      </c>
      <c r="C16" s="86" t="inlineStr">
        <is>
          <t>蔡光怀</t>
        </is>
      </c>
      <c r="D16" s="86" t="inlineStr">
        <is>
          <t>包装工</t>
        </is>
      </c>
      <c r="E16" s="30" t="n"/>
      <c r="F16" s="86" t="inlineStr">
        <is>
          <t>正式员工</t>
        </is>
      </c>
      <c r="G16" s="86" t="inlineStr">
        <is>
          <t>在岗</t>
        </is>
      </c>
    </row>
    <row r="17" ht="32" customHeight="1" s="42">
      <c r="A17" s="85" t="inlineStr">
        <is>
          <t>EMP-0013</t>
        </is>
      </c>
      <c r="B17" s="85" t="inlineStr">
        <is>
          <t>EMP-0017</t>
        </is>
      </c>
      <c r="C17" s="85" t="inlineStr">
        <is>
          <t>王珊兰</t>
        </is>
      </c>
      <c r="D17" s="85" t="inlineStr">
        <is>
          <t>质检员</t>
        </is>
      </c>
      <c r="E17" s="29" t="inlineStr">
        <is>
          <t>• 仓库员</t>
        </is>
      </c>
      <c r="F17" s="85" t="inlineStr">
        <is>
          <t>正式员工</t>
        </is>
      </c>
      <c r="G17" s="85" t="inlineStr">
        <is>
          <t>在岗</t>
        </is>
      </c>
    </row>
    <row r="18" ht="24" customHeight="1" s="42">
      <c r="A18" s="85" t="inlineStr">
        <is>
          <t>EMP-0014</t>
        </is>
      </c>
      <c r="B18" s="86" t="inlineStr">
        <is>
          <t>EMP-0013</t>
        </is>
      </c>
      <c r="C18" s="86" t="inlineStr">
        <is>
          <t>赵荔</t>
        </is>
      </c>
      <c r="D18" s="86" t="inlineStr">
        <is>
          <t>包装工</t>
        </is>
      </c>
      <c r="E18" s="30" t="n"/>
      <c r="F18" s="86" t="inlineStr">
        <is>
          <t>正式员工</t>
        </is>
      </c>
      <c r="G18" s="86" t="inlineStr">
        <is>
          <t>在岗</t>
        </is>
      </c>
    </row>
    <row r="19" ht="24" customHeight="1" s="42">
      <c r="A19" s="85" t="inlineStr">
        <is>
          <t>EMP-0015</t>
        </is>
      </c>
      <c r="B19" s="85" t="inlineStr">
        <is>
          <t>EMP-0019</t>
        </is>
      </c>
      <c r="C19" s="85" t="inlineStr">
        <is>
          <t>王秋红</t>
        </is>
      </c>
      <c r="D19" s="85" t="inlineStr">
        <is>
          <t>跟单员</t>
        </is>
      </c>
      <c r="E19" s="29" t="n"/>
      <c r="F19" s="85" t="inlineStr">
        <is>
          <t>正式员工</t>
        </is>
      </c>
      <c r="G19" s="85" t="inlineStr">
        <is>
          <t>在岗</t>
        </is>
      </c>
    </row>
    <row r="20" ht="32" customHeight="1" s="42">
      <c r="A20" s="85" t="inlineStr">
        <is>
          <t>EMP-0016</t>
        </is>
      </c>
      <c r="B20" s="86" t="inlineStr">
        <is>
          <t>EMP-0020</t>
        </is>
      </c>
      <c r="C20" s="86" t="inlineStr">
        <is>
          <t>尹杰</t>
        </is>
      </c>
      <c r="D20" s="86" t="inlineStr">
        <is>
          <t>人事员</t>
        </is>
      </c>
      <c r="E20" s="30" t="inlineStr">
        <is>
          <t>• 采购员</t>
        </is>
      </c>
      <c r="F20" s="86" t="inlineStr">
        <is>
          <t>正式员工</t>
        </is>
      </c>
      <c r="G20" s="86" t="inlineStr">
        <is>
          <t>在岗</t>
        </is>
      </c>
    </row>
    <row r="21" ht="24" customHeight="1" s="42">
      <c r="A21" s="85" t="inlineStr">
        <is>
          <t>EMP-0017</t>
        </is>
      </c>
      <c r="B21" s="85" t="inlineStr">
        <is>
          <t>EMP-0019</t>
        </is>
      </c>
      <c r="C21" s="85" t="inlineStr">
        <is>
          <t>李天友</t>
        </is>
      </c>
      <c r="D21" s="85" t="inlineStr">
        <is>
          <t>品质部负责人</t>
        </is>
      </c>
      <c r="E21" s="29" t="n"/>
      <c r="F21" s="86" t="inlineStr">
        <is>
          <t>正式员工</t>
        </is>
      </c>
      <c r="G21" s="85" t="inlineStr">
        <is>
          <t>在岗</t>
        </is>
      </c>
    </row>
    <row r="22" ht="24" customHeight="1" s="42">
      <c r="A22" s="85" t="inlineStr">
        <is>
          <t>EMP-0018</t>
        </is>
      </c>
      <c r="B22" s="86" t="inlineStr">
        <is>
          <t>EMP-0019</t>
        </is>
      </c>
      <c r="C22" s="86" t="inlineStr">
        <is>
          <t>刘东</t>
        </is>
      </c>
      <c r="D22" s="86" t="inlineStr">
        <is>
          <t>模具技术负责人</t>
        </is>
      </c>
      <c r="E22" s="30" t="n"/>
      <c r="F22" s="86" t="inlineStr">
        <is>
          <t>正式员工</t>
        </is>
      </c>
      <c r="G22" s="86" t="inlineStr">
        <is>
          <t>在岗</t>
        </is>
      </c>
    </row>
    <row r="23" ht="32" customHeight="1" s="42">
      <c r="A23" s="85" t="inlineStr">
        <is>
          <t>EMP-0019</t>
        </is>
      </c>
      <c r="B23" s="85" t="inlineStr">
        <is>
          <t>/</t>
        </is>
      </c>
      <c r="C23" s="85" t="inlineStr">
        <is>
          <t>王晓华</t>
        </is>
      </c>
      <c r="D23" s="85" t="inlineStr">
        <is>
          <t>总经理</t>
        </is>
      </c>
      <c r="E23" s="29" t="inlineStr">
        <is>
          <t>• 运营部负责人
• 行政部负责人</t>
        </is>
      </c>
      <c r="F23" s="86" t="inlineStr">
        <is>
          <t>正式员工</t>
        </is>
      </c>
      <c r="G23" s="85" t="inlineStr">
        <is>
          <t>在岗</t>
        </is>
      </c>
    </row>
    <row r="24" ht="32" customHeight="1" s="42">
      <c r="A24" s="85" t="inlineStr">
        <is>
          <t>EMP-0020</t>
        </is>
      </c>
      <c r="B24" s="86" t="inlineStr">
        <is>
          <t>/</t>
        </is>
      </c>
      <c r="C24" s="86" t="inlineStr">
        <is>
          <t>王勇</t>
        </is>
      </c>
      <c r="D24" s="86" t="inlineStr">
        <is>
          <t>董事长</t>
        </is>
      </c>
      <c r="E24" s="30" t="inlineStr">
        <is>
          <t>• 财务部负责人</t>
        </is>
      </c>
      <c r="F24" s="86" t="inlineStr">
        <is>
          <t>正式员工</t>
        </is>
      </c>
      <c r="G24" s="86" t="inlineStr">
        <is>
          <t>在岗</t>
        </is>
      </c>
    </row>
    <row r="25" ht="24" customHeight="1" s="42">
      <c r="A25" s="85" t="inlineStr">
        <is>
          <t>EMP-0021</t>
        </is>
      </c>
      <c r="B25" s="85" t="inlineStr">
        <is>
          <t>EMP-0019</t>
        </is>
      </c>
      <c r="C25" s="85" t="inlineStr">
        <is>
          <t>马金军</t>
        </is>
      </c>
      <c r="D25" s="85" t="inlineStr">
        <is>
          <t>清洗组长</t>
        </is>
      </c>
      <c r="E25" s="29" t="n"/>
      <c r="F25" s="85" t="inlineStr">
        <is>
          <t>正式员工</t>
        </is>
      </c>
      <c r="G25" s="85" t="inlineStr">
        <is>
          <t>在岗</t>
        </is>
      </c>
    </row>
    <row r="26" ht="24" customHeight="1" s="42">
      <c r="A26" s="85" t="inlineStr">
        <is>
          <t>EMP-0022</t>
        </is>
      </c>
      <c r="B26" s="86" t="inlineStr">
        <is>
          <t>EMP-0021</t>
        </is>
      </c>
      <c r="C26" s="86" t="inlineStr">
        <is>
          <t>余永政</t>
        </is>
      </c>
      <c r="D26" s="86" t="inlineStr">
        <is>
          <t>清洗工</t>
        </is>
      </c>
      <c r="E26" s="30" t="n"/>
      <c r="F26" s="86" t="inlineStr">
        <is>
          <t>正式员工</t>
        </is>
      </c>
      <c r="G26" s="86" t="inlineStr">
        <is>
          <t>在岗</t>
        </is>
      </c>
    </row>
    <row r="27" ht="24" customHeight="1" s="42">
      <c r="A27" s="85" t="inlineStr">
        <is>
          <t>EMP-0023</t>
        </is>
      </c>
      <c r="B27" s="85" t="inlineStr">
        <is>
          <t>EMP-0021</t>
        </is>
      </c>
      <c r="C27" s="85" t="inlineStr">
        <is>
          <t>雷国才</t>
        </is>
      </c>
      <c r="D27" s="85" t="inlineStr">
        <is>
          <t>清洗工</t>
        </is>
      </c>
      <c r="E27" s="29" t="n"/>
      <c r="F27" s="85" t="inlineStr">
        <is>
          <t>正式员工</t>
        </is>
      </c>
      <c r="G27" s="85" t="inlineStr">
        <is>
          <t>在岗</t>
        </is>
      </c>
    </row>
    <row r="28" ht="24" customHeight="1" s="42">
      <c r="A28" s="85" t="inlineStr">
        <is>
          <t>EMP-0024</t>
        </is>
      </c>
      <c r="B28" s="86" t="inlineStr">
        <is>
          <t>EMP-0021</t>
        </is>
      </c>
      <c r="C28" s="86" t="inlineStr">
        <is>
          <t>王正光</t>
        </is>
      </c>
      <c r="D28" s="86" t="inlineStr">
        <is>
          <t>清洗工</t>
        </is>
      </c>
      <c r="E28" s="30" t="n"/>
      <c r="F28" s="86" t="inlineStr">
        <is>
          <t>正式员工</t>
        </is>
      </c>
      <c r="G28" s="86" t="inlineStr">
        <is>
          <t>在岗</t>
        </is>
      </c>
    </row>
    <row r="29" ht="24" customHeight="1" s="42">
      <c r="A29" s="85" t="inlineStr">
        <is>
          <t>EMP-0025</t>
        </is>
      </c>
      <c r="B29" s="85" t="inlineStr">
        <is>
          <t>EMP-0021</t>
        </is>
      </c>
      <c r="C29" s="85" t="inlineStr">
        <is>
          <t>王文开</t>
        </is>
      </c>
      <c r="D29" s="85" t="inlineStr">
        <is>
          <t>清洗工</t>
        </is>
      </c>
      <c r="E29" s="29" t="n"/>
      <c r="F29" s="85" t="inlineStr">
        <is>
          <t>正式员工</t>
        </is>
      </c>
      <c r="G29" s="85" t="inlineStr">
        <is>
          <t>在岗</t>
        </is>
      </c>
    </row>
    <row r="30" ht="24" customHeight="1" s="42">
      <c r="A30" s="85" t="inlineStr">
        <is>
          <t>EMP-0026</t>
        </is>
      </c>
      <c r="B30" s="86" t="inlineStr">
        <is>
          <t>EMP-0019</t>
        </is>
      </c>
      <c r="C30" s="86" t="inlineStr">
        <is>
          <t>吴闻根</t>
        </is>
      </c>
      <c r="D30" s="86" t="inlineStr">
        <is>
          <t>模具检修组长</t>
        </is>
      </c>
      <c r="E30" s="30" t="n"/>
      <c r="F30" s="86" t="inlineStr">
        <is>
          <t>正式员工</t>
        </is>
      </c>
      <c r="G30" s="86" t="inlineStr">
        <is>
          <t>在岗</t>
        </is>
      </c>
    </row>
    <row r="31" ht="24" customHeight="1" s="42">
      <c r="A31" s="85" t="inlineStr">
        <is>
          <t>EMP-0027</t>
        </is>
      </c>
      <c r="B31" s="85" t="inlineStr">
        <is>
          <t>EMP-0026</t>
        </is>
      </c>
      <c r="C31" s="85" t="inlineStr">
        <is>
          <t>陈英坤</t>
        </is>
      </c>
      <c r="D31" s="85" t="inlineStr">
        <is>
          <t>模具检修工</t>
        </is>
      </c>
      <c r="E31" s="29" t="n"/>
      <c r="F31" s="85" t="inlineStr">
        <is>
          <t>正式员工</t>
        </is>
      </c>
      <c r="G31" s="85" t="inlineStr">
        <is>
          <t>在岗</t>
        </is>
      </c>
    </row>
    <row r="32" ht="24" customHeight="1" s="42">
      <c r="A32" s="85" t="inlineStr">
        <is>
          <t>EMP-0028</t>
        </is>
      </c>
      <c r="B32" s="86" t="inlineStr">
        <is>
          <t>EMP-0026</t>
        </is>
      </c>
      <c r="C32" s="86" t="inlineStr">
        <is>
          <t>屠园园</t>
        </is>
      </c>
      <c r="D32" s="86" t="inlineStr">
        <is>
          <t>模具检修工</t>
        </is>
      </c>
      <c r="E32" s="30" t="n"/>
      <c r="F32" s="86" t="inlineStr">
        <is>
          <t>正式员工</t>
        </is>
      </c>
      <c r="G32" s="86" t="inlineStr">
        <is>
          <t>在岗</t>
        </is>
      </c>
    </row>
    <row r="33" ht="24" customHeight="1" s="42">
      <c r="A33" s="85" t="inlineStr">
        <is>
          <t>EMP-0029</t>
        </is>
      </c>
      <c r="B33" s="85" t="inlineStr">
        <is>
          <t>EMP-0026</t>
        </is>
      </c>
      <c r="C33" s="85" t="inlineStr">
        <is>
          <t>邓宏军</t>
        </is>
      </c>
      <c r="D33" s="85" t="inlineStr">
        <is>
          <t>模具检修工</t>
        </is>
      </c>
      <c r="E33" s="29" t="n"/>
      <c r="F33" s="85" t="inlineStr">
        <is>
          <t>正式员工</t>
        </is>
      </c>
      <c r="G33" s="85" t="inlineStr">
        <is>
          <t>在岗</t>
        </is>
      </c>
    </row>
    <row r="34" ht="24" customHeight="1" s="42">
      <c r="A34" s="85" t="inlineStr">
        <is>
          <t>EMP-0030</t>
        </is>
      </c>
      <c r="B34" s="86" t="inlineStr">
        <is>
          <t>EMP-0019</t>
        </is>
      </c>
      <c r="C34" s="86" t="inlineStr">
        <is>
          <t>王杰</t>
        </is>
      </c>
      <c r="D34" s="86" t="inlineStr">
        <is>
          <t>模具检修组长</t>
        </is>
      </c>
      <c r="E34" s="30" t="n"/>
      <c r="F34" s="86" t="inlineStr">
        <is>
          <t>正式员工</t>
        </is>
      </c>
      <c r="G34" s="86" t="inlineStr">
        <is>
          <t>在岗</t>
        </is>
      </c>
    </row>
    <row r="35" ht="24" customHeight="1" s="42">
      <c r="A35" s="85" t="inlineStr">
        <is>
          <t>EMP-0031</t>
        </is>
      </c>
      <c r="B35" s="85" t="inlineStr">
        <is>
          <t>EMP-0026</t>
        </is>
      </c>
      <c r="C35" s="85" t="inlineStr">
        <is>
          <t>陈仕波</t>
        </is>
      </c>
      <c r="D35" s="85" t="inlineStr">
        <is>
          <t>模具检修工</t>
        </is>
      </c>
      <c r="E35" s="29" t="n"/>
      <c r="F35" s="85" t="inlineStr">
        <is>
          <t>正式员工</t>
        </is>
      </c>
      <c r="G35" s="85" t="inlineStr">
        <is>
          <t>在岗</t>
        </is>
      </c>
    </row>
    <row r="36" ht="24" customHeight="1" s="42">
      <c r="A36" s="85" t="inlineStr">
        <is>
          <t>EMP-0032</t>
        </is>
      </c>
      <c r="B36" s="86" t="inlineStr">
        <is>
          <t>EMP-0026</t>
        </is>
      </c>
      <c r="C36" s="86" t="inlineStr">
        <is>
          <t>杨茗杰</t>
        </is>
      </c>
      <c r="D36" s="85" t="inlineStr">
        <is>
          <t>模具检修工</t>
        </is>
      </c>
      <c r="E36" s="30" t="n"/>
      <c r="F36" s="86" t="inlineStr">
        <is>
          <t>正式员工</t>
        </is>
      </c>
      <c r="G36" s="86" t="inlineStr">
        <is>
          <t>在岗</t>
        </is>
      </c>
    </row>
    <row r="37" ht="24" customHeight="1" s="42">
      <c r="A37" s="85" t="inlineStr">
        <is>
          <t>EMP-0033</t>
        </is>
      </c>
      <c r="B37" s="85" t="inlineStr">
        <is>
          <t>EMP-0026</t>
        </is>
      </c>
      <c r="C37" s="85" t="inlineStr">
        <is>
          <t>王敬</t>
        </is>
      </c>
      <c r="D37" s="85" t="inlineStr">
        <is>
          <t>模具检修工</t>
        </is>
      </c>
      <c r="E37" s="29" t="n"/>
      <c r="F37" s="85" t="inlineStr">
        <is>
          <t>正式员工</t>
        </is>
      </c>
      <c r="G37" s="85" t="inlineStr">
        <is>
          <t>在岗</t>
        </is>
      </c>
    </row>
    <row r="38" ht="24" customHeight="1" s="42">
      <c r="A38" s="85" t="inlineStr">
        <is>
          <t>EMP-0034</t>
        </is>
      </c>
      <c r="B38" s="86" t="inlineStr">
        <is>
          <t>EMP-0026</t>
        </is>
      </c>
      <c r="C38" s="86" t="inlineStr">
        <is>
          <t>张明新</t>
        </is>
      </c>
      <c r="D38" s="86" t="inlineStr">
        <is>
          <t>模具检修工</t>
        </is>
      </c>
      <c r="E38" s="30" t="n"/>
      <c r="F38" s="86" t="inlineStr">
        <is>
          <t>正式员工</t>
        </is>
      </c>
      <c r="G38" s="86" t="inlineStr">
        <is>
          <t>在岗</t>
        </is>
      </c>
    </row>
    <row r="39" ht="24" customHeight="1" s="42">
      <c r="A39" s="85" t="inlineStr">
        <is>
          <t>EMP-0035</t>
        </is>
      </c>
      <c r="B39" s="85" t="inlineStr">
        <is>
          <t>EMP-0026</t>
        </is>
      </c>
      <c r="C39" s="85" t="inlineStr">
        <is>
          <t>叶建科</t>
        </is>
      </c>
      <c r="D39" s="86" t="inlineStr">
        <is>
          <t>模具检修工</t>
        </is>
      </c>
      <c r="E39" s="29" t="n"/>
      <c r="F39" s="85" t="inlineStr">
        <is>
          <t>正式员工</t>
        </is>
      </c>
      <c r="G39" s="85" t="inlineStr">
        <is>
          <t>在岗</t>
        </is>
      </c>
    </row>
    <row r="40" ht="24" customHeight="1" s="42">
      <c r="A40" s="85" t="inlineStr">
        <is>
          <t>EMP-0036</t>
        </is>
      </c>
      <c r="B40" s="86" t="inlineStr">
        <is>
          <t>EMP-0001</t>
        </is>
      </c>
      <c r="C40" s="86" t="inlineStr">
        <is>
          <t>吕祖凤</t>
        </is>
      </c>
      <c r="D40" s="86" t="inlineStr">
        <is>
          <t>冲床操作工</t>
        </is>
      </c>
      <c r="E40" s="30" t="n"/>
      <c r="F40" s="86" t="inlineStr">
        <is>
          <t>正式员工</t>
        </is>
      </c>
      <c r="G40" s="86" t="inlineStr">
        <is>
          <t>在岗</t>
        </is>
      </c>
    </row>
    <row r="41" ht="24" customHeight="1" s="42">
      <c r="A41" s="85" t="inlineStr">
        <is>
          <t>EMP-0037</t>
        </is>
      </c>
      <c r="B41" s="85" t="inlineStr">
        <is>
          <t>EMP-0001</t>
        </is>
      </c>
      <c r="C41" s="85" t="inlineStr">
        <is>
          <t>钟海霞</t>
        </is>
      </c>
      <c r="D41" s="85" t="inlineStr">
        <is>
          <t>冲床操作工</t>
        </is>
      </c>
      <c r="E41" s="29" t="n"/>
      <c r="F41" s="85" t="inlineStr">
        <is>
          <t>正式员工</t>
        </is>
      </c>
      <c r="G41" s="85" t="inlineStr">
        <is>
          <t>在岗</t>
        </is>
      </c>
    </row>
    <row r="42" ht="24" customHeight="1" s="42">
      <c r="A42" s="85" t="inlineStr">
        <is>
          <t>EMP-0038</t>
        </is>
      </c>
      <c r="B42" s="86" t="inlineStr">
        <is>
          <t>EMP-0001</t>
        </is>
      </c>
      <c r="C42" s="86" t="inlineStr">
        <is>
          <t>余名秀</t>
        </is>
      </c>
      <c r="D42" s="86" t="inlineStr">
        <is>
          <t>冲床操作工</t>
        </is>
      </c>
      <c r="E42" s="30" t="n"/>
      <c r="F42" s="86" t="inlineStr">
        <is>
          <t>正式员工</t>
        </is>
      </c>
      <c r="G42" s="86" t="inlineStr">
        <is>
          <t>在岗</t>
        </is>
      </c>
    </row>
    <row r="43" ht="24" customHeight="1" s="42">
      <c r="A43" s="85" t="inlineStr">
        <is>
          <t>EMP-0039</t>
        </is>
      </c>
      <c r="B43" s="86" t="inlineStr">
        <is>
          <t>EMP-0001</t>
        </is>
      </c>
      <c r="C43" s="86" t="inlineStr">
        <is>
          <t>唐晓飞</t>
        </is>
      </c>
      <c r="D43" s="86" t="inlineStr">
        <is>
          <t>冲床操作工</t>
        </is>
      </c>
      <c r="E43" s="30" t="n"/>
      <c r="F43" s="86" t="inlineStr">
        <is>
          <t>正式员工</t>
        </is>
      </c>
      <c r="G43" s="86" t="inlineStr">
        <is>
          <t>在岗</t>
        </is>
      </c>
    </row>
    <row r="44" ht="24" customHeight="1" s="42">
      <c r="A44" s="85" t="inlineStr">
        <is>
          <t>EMP-0040</t>
        </is>
      </c>
      <c r="B44" s="85" t="inlineStr">
        <is>
          <t>EMP-0001</t>
        </is>
      </c>
      <c r="C44" s="85" t="inlineStr">
        <is>
          <t>陈烈兵</t>
        </is>
      </c>
      <c r="D44" s="85" t="inlineStr">
        <is>
          <t>冲床操作工</t>
        </is>
      </c>
      <c r="E44" s="29" t="n"/>
      <c r="F44" s="85" t="inlineStr">
        <is>
          <t>正式员工</t>
        </is>
      </c>
      <c r="G44" s="85" t="inlineStr">
        <is>
          <t>在岗</t>
        </is>
      </c>
    </row>
    <row r="45" ht="24" customHeight="1" s="42">
      <c r="A45" s="85" t="inlineStr">
        <is>
          <t>EMP-0041</t>
        </is>
      </c>
      <c r="B45" s="86" t="inlineStr">
        <is>
          <t>EMP-0001</t>
        </is>
      </c>
      <c r="C45" s="86" t="inlineStr">
        <is>
          <t>徐旭阳</t>
        </is>
      </c>
      <c r="D45" s="86" t="inlineStr">
        <is>
          <t>冲床操作工</t>
        </is>
      </c>
      <c r="E45" s="30" t="n"/>
      <c r="F45" s="86" t="inlineStr">
        <is>
          <t>正式员工</t>
        </is>
      </c>
      <c r="G45" s="86" t="inlineStr">
        <is>
          <t>在岗</t>
        </is>
      </c>
    </row>
    <row r="46" ht="24" customHeight="1" s="42">
      <c r="A46" s="85" t="inlineStr">
        <is>
          <t>EMP-0042</t>
        </is>
      </c>
      <c r="B46" s="85" t="inlineStr">
        <is>
          <t>EMP-0017</t>
        </is>
      </c>
      <c r="C46" s="85" t="inlineStr">
        <is>
          <t>黄丹</t>
        </is>
      </c>
      <c r="D46" s="85" t="inlineStr">
        <is>
          <t>质检员</t>
        </is>
      </c>
      <c r="E46" s="29" t="n"/>
      <c r="F46" s="85" t="inlineStr">
        <is>
          <t>正式员工</t>
        </is>
      </c>
      <c r="G46" s="85" t="inlineStr">
        <is>
          <t>在岗</t>
        </is>
      </c>
    </row>
    <row r="47" ht="24" customHeight="1" s="42">
      <c r="A47" s="85" t="inlineStr">
        <is>
          <t>EMP-0043</t>
        </is>
      </c>
      <c r="B47" s="85" t="inlineStr">
        <is>
          <t>EMP-0026</t>
        </is>
      </c>
      <c r="C47" s="85" t="inlineStr">
        <is>
          <t>王名涵</t>
        </is>
      </c>
      <c r="D47" s="86" t="inlineStr">
        <is>
          <t>模具检修工</t>
        </is>
      </c>
      <c r="E47" s="29" t="n"/>
      <c r="F47" s="85" t="inlineStr">
        <is>
          <t>正式员工</t>
        </is>
      </c>
      <c r="G47" s="85" t="inlineStr">
        <is>
          <t>在岗</t>
        </is>
      </c>
    </row>
    <row r="48" ht="24" customHeight="1" s="42">
      <c r="A48" s="85" t="inlineStr">
        <is>
          <t>EMP-0044</t>
        </is>
      </c>
      <c r="B48" s="86" t="inlineStr">
        <is>
          <t>EMP-0026</t>
        </is>
      </c>
      <c r="C48" s="86" t="inlineStr">
        <is>
          <t>陈仕宁</t>
        </is>
      </c>
      <c r="D48" s="86" t="inlineStr">
        <is>
          <t>模具检修工</t>
        </is>
      </c>
      <c r="E48" s="30" t="n"/>
      <c r="F48" s="86" t="inlineStr">
        <is>
          <t>正式员工</t>
        </is>
      </c>
      <c r="G48" s="86" t="inlineStr">
        <is>
          <t>在岗</t>
        </is>
      </c>
    </row>
    <row r="49" ht="24" customHeight="1" s="42">
      <c r="A49" s="85" t="inlineStr">
        <is>
          <t>EMP-0045</t>
        </is>
      </c>
      <c r="B49" s="85" t="inlineStr">
        <is>
          <t>EMP-0001</t>
        </is>
      </c>
      <c r="C49" s="85" t="inlineStr">
        <is>
          <t>张文壕</t>
        </is>
      </c>
      <c r="D49" s="85" t="inlineStr">
        <is>
          <t>冲床操作工</t>
        </is>
      </c>
      <c r="E49" s="29" t="n"/>
      <c r="F49" s="85" t="inlineStr">
        <is>
          <t>试用员工</t>
        </is>
      </c>
      <c r="G49" s="85" t="inlineStr">
        <is>
          <t>在岗</t>
        </is>
      </c>
    </row>
  </sheetData>
  <autoFilter ref="A4:G49"/>
  <mergeCells count="2">
    <mergeCell ref="A2:G2"/>
    <mergeCell ref="A1:G1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O25"/>
  <sheetViews>
    <sheetView showGridLines="0" zoomScale="90" zoomScaleNormal="90" workbookViewId="0">
      <pane ySplit="4" topLeftCell="A5" activePane="bottomLeft" state="frozen"/>
      <selection pane="bottomLeft" activeCell="A4" sqref="A4"/>
    </sheetView>
  </sheetViews>
  <sheetFormatPr baseColWidth="8" defaultColWidth="9" defaultRowHeight="14.4"/>
  <cols>
    <col width="16" customWidth="1" style="42" min="1" max="1"/>
    <col width="22" customWidth="1" style="42" min="2" max="2"/>
    <col width="12" customWidth="1" style="42" min="3" max="3"/>
    <col width="18" customWidth="1" style="42" min="4" max="4"/>
    <col width="16" customWidth="1" style="42" min="5" max="6"/>
    <col width="14" customWidth="1" style="42" min="6" max="6"/>
    <col width="12" customWidth="1" style="42" min="7" max="7"/>
    <col width="10" customWidth="1" style="43" min="8" max="8"/>
    <col width="10" customWidth="1" style="42" min="9" max="9"/>
    <col width="24" customWidth="1" style="42" min="10" max="10"/>
    <col width="48" customWidth="1" style="42" min="11" max="11"/>
    <col width="34" customWidth="1" style="42" min="12" max="12"/>
    <col width="18" customWidth="1" style="42" min="13" max="13"/>
    <col width="14" customWidth="1" style="42" min="14" max="14"/>
    <col width="40" customWidth="1" style="42" min="15" max="15"/>
  </cols>
  <sheetData>
    <row r="1" ht="30" customHeight="1" s="42">
      <c r="A1" s="96" t="inlineStr">
        <is>
          <t>02｜组织单元主数据</t>
        </is>
      </c>
      <c r="M1" s="96" t="n"/>
      <c r="N1" s="96" t="n"/>
      <c r="O1" s="96" t="n"/>
    </row>
    <row r="2" ht="42" customHeight="1" s="42">
      <c r="A2" s="41" t="inlineStr">
        <is>
          <t>公司组织架构按“公司—部门—班组”管理；董事长、总经理归入公司层级；包装不作为独立组织单元，相关人员归入仓储组。</t>
        </is>
      </c>
      <c r="M2" s="41" t="inlineStr">
        <is>
          <t>填写口径：主要输出物改为本组织单元每月向上一级提交的管理结果、分析报告或汇总表；原始单据作为支撑资料，不作为月度汇报物。</t>
        </is>
      </c>
    </row>
    <row r="3" ht="30" customHeight="1" s="42"/>
    <row r="4" ht="30" customHeight="1" s="42">
      <c r="A4" s="51" t="inlineStr">
        <is>
          <t>组织单元ID*</t>
        </is>
      </c>
      <c r="B4" s="51" t="inlineStr">
        <is>
          <t>组织单元名称*</t>
        </is>
      </c>
      <c r="C4" s="51" t="inlineStr">
        <is>
          <t>组织层级</t>
        </is>
      </c>
      <c r="D4" s="51" t="inlineStr">
        <is>
          <t>上级组织单元ID</t>
        </is>
      </c>
      <c r="E4" s="51" t="inlineStr">
        <is>
          <t>负责人员工ID</t>
        </is>
      </c>
      <c r="F4" s="51" t="inlineStr">
        <is>
          <t>负责人姓名（可选）</t>
        </is>
      </c>
      <c r="G4" s="51" t="inlineStr">
        <is>
          <t>组织状态</t>
        </is>
      </c>
      <c r="H4" s="51" t="inlineStr">
        <is>
          <t>现有人数</t>
        </is>
      </c>
      <c r="I4" s="51" t="inlineStr">
        <is>
          <t>计划编制</t>
        </is>
      </c>
      <c r="J4" s="51" t="inlineStr">
        <is>
          <t>核心定位</t>
        </is>
      </c>
      <c r="K4" s="51" t="inlineStr">
        <is>
          <t>主要输出物</t>
        </is>
      </c>
      <c r="L4" s="51" t="inlineStr">
        <is>
          <t>备注</t>
        </is>
      </c>
      <c r="M4" s="51" t="inlineStr">
        <is>
          <t>月度汇报对象</t>
        </is>
      </c>
      <c r="N4" s="51" t="inlineStr">
        <is>
          <t>月度汇报周期</t>
        </is>
      </c>
      <c r="O4" s="51" t="inlineStr">
        <is>
          <t>月度汇报文件/结果</t>
        </is>
      </c>
    </row>
    <row r="5" ht="60" customFormat="1" customHeight="1" s="20">
      <c r="A5" s="93" t="inlineStr">
        <is>
          <t>ORG-ROOT</t>
        </is>
      </c>
      <c r="B5" s="93" t="inlineStr">
        <is>
          <t>惠州市鑫犇电子有限公司</t>
        </is>
      </c>
      <c r="C5" s="93" t="inlineStr">
        <is>
          <t>公司</t>
        </is>
      </c>
      <c r="D5" s="93" t="n"/>
      <c r="E5" s="93" t="inlineStr">
        <is>
          <t>/</t>
        </is>
      </c>
      <c r="F5" s="93" t="inlineStr">
        <is>
          <t>/</t>
        </is>
      </c>
      <c r="G5" s="93" t="inlineStr">
        <is>
          <t>现行</t>
        </is>
      </c>
      <c r="H5" s="93" t="n"/>
      <c r="I5" s="93" t="n"/>
      <c r="J5" s="93" t="inlineStr">
        <is>
          <t>公司主体</t>
        </is>
      </c>
      <c r="K5" s="93" t="inlineStr">
        <is>
          <t>1、《年度经营目标》；2、《重大审批记录》；3、《公司级制度文件》；4、《组织架构总文件》；5、《ISO9001质量体系文件》</t>
        </is>
      </c>
      <c r="L5" s="93" t="inlineStr">
        <is>
          <t>公司为组织管理概念，不配置实体负责人；本字段不填写，以“/”标记。</t>
        </is>
      </c>
      <c r="M5" s="93" t="inlineStr">
        <is>
          <t>董事长</t>
        </is>
      </c>
      <c r="N5" s="93" t="inlineStr">
        <is>
          <t>每月5日前</t>
        </is>
      </c>
      <c r="O5" s="93" t="inlineStr">
        <is>
          <t>1、《月度经营分析报告》；2、《重大事项审批清单》；3、《组织与授权变更记录》；4、《质量体系运行报告》</t>
        </is>
      </c>
    </row>
    <row r="6" ht="60" customFormat="1" customHeight="1" s="20">
      <c r="A6" s="93" t="inlineStr">
        <is>
          <t>ORG-OPS-WH</t>
        </is>
      </c>
      <c r="B6" s="93" t="inlineStr">
        <is>
          <t>仓储组</t>
        </is>
      </c>
      <c r="C6" s="93" t="inlineStr">
        <is>
          <t>班组</t>
        </is>
      </c>
      <c r="D6" s="93" t="inlineStr">
        <is>
          <t>ORG-OPS</t>
        </is>
      </c>
      <c r="E6" s="93" t="inlineStr">
        <is>
          <t>EMP-0013</t>
        </is>
      </c>
      <c r="F6" s="93" t="inlineStr">
        <is>
          <t>王珊兰</t>
        </is>
      </c>
      <c r="G6" s="93" t="inlineStr">
        <is>
          <t>现行</t>
        </is>
      </c>
      <c r="H6" s="93" t="n"/>
      <c r="I6" s="93" t="n"/>
      <c r="J6" s="93" t="inlineStr">
        <is>
          <t>仓储管理单元</t>
        </is>
      </c>
      <c r="K6" s="93" t="inlineStr">
        <is>
          <t>1、《物料出入库单据》；2、《出入库存台账（包括纸质和电子台账）》；3、《出入库存立牌》；4、《季度盘点表》</t>
        </is>
      </c>
      <c r="L6" s="93" t="inlineStr">
        <is>
          <t>按本次组织架构确认更新；月度汇报内容沿用原定义，后续按班组职责细化。</t>
        </is>
      </c>
      <c r="M6" s="93" t="inlineStr">
        <is>
          <t>运营部负责人</t>
        </is>
      </c>
      <c r="N6" s="93" t="inlineStr">
        <is>
          <t>每月2日前</t>
        </is>
      </c>
      <c r="O6" s="93" t="inlineStr">
        <is>
          <t>1、《月度库存汇总》；2、《出入库汇总》；3、《盘点差异表》；4、《呆滞物料清单》；5、《库存预警清单》</t>
        </is>
      </c>
    </row>
    <row r="7" ht="60" customFormat="1" customHeight="1" s="20">
      <c r="A7" s="93" t="inlineStr">
        <is>
          <t>ORG-OPS-PUR</t>
        </is>
      </c>
      <c r="B7" s="93" t="inlineStr">
        <is>
          <t>采购组</t>
        </is>
      </c>
      <c r="C7" s="93" t="inlineStr">
        <is>
          <t>班组</t>
        </is>
      </c>
      <c r="D7" s="93" t="inlineStr">
        <is>
          <t>ORG-OPS</t>
        </is>
      </c>
      <c r="E7" s="93" t="inlineStr">
        <is>
          <t>EMP-0016</t>
        </is>
      </c>
      <c r="F7" s="93" t="inlineStr">
        <is>
          <t>尹杰</t>
        </is>
      </c>
      <c r="G7" s="93" t="inlineStr">
        <is>
          <t>现行</t>
        </is>
      </c>
      <c r="H7" s="93" t="n"/>
      <c r="I7" s="93" t="n"/>
      <c r="J7" s="93" t="inlineStr">
        <is>
          <t>采购单元</t>
        </is>
      </c>
      <c r="K7" s="93" t="inlineStr">
        <is>
          <t>1、《采购订单》；2、《询比价记录》；3、《采购交期跟进台账》；4、《来料异常记录》</t>
        </is>
      </c>
      <c r="L7" s="93" t="inlineStr">
        <is>
          <t>按本次组织架构确认更新；月度汇报内容沿用原定义，后续按班组职责细化。</t>
        </is>
      </c>
      <c r="M7" s="93" t="inlineStr">
        <is>
          <t>运营部负责人</t>
        </is>
      </c>
      <c r="N7" s="93" t="inlineStr">
        <is>
          <t>每月2日前</t>
        </is>
      </c>
      <c r="O7" s="93" t="inlineStr">
        <is>
          <t>1、《月度采购完成情况》；2、《供应商交期达成率》；3、《采购价格变化》；4、《来料异常汇总》；5、《待采购物料清单》</t>
        </is>
      </c>
    </row>
    <row r="8" ht="60" customHeight="1" s="42">
      <c r="A8" s="93" t="inlineStr">
        <is>
          <t>ORG-OPS-BIZ</t>
        </is>
      </c>
      <c r="B8" s="93" t="inlineStr">
        <is>
          <t>业务组</t>
        </is>
      </c>
      <c r="C8" s="93" t="inlineStr">
        <is>
          <t>班组</t>
        </is>
      </c>
      <c r="D8" s="93" t="inlineStr">
        <is>
          <t>ORG-OPS</t>
        </is>
      </c>
      <c r="E8" s="93" t="inlineStr">
        <is>
          <t>EMP-0015</t>
        </is>
      </c>
      <c r="F8" s="93" t="inlineStr">
        <is>
          <t>王秋红</t>
        </is>
      </c>
      <c r="G8" s="93" t="inlineStr">
        <is>
          <t>现行</t>
        </is>
      </c>
      <c r="H8" s="93" t="n"/>
      <c r="I8" s="93" t="n"/>
      <c r="J8" s="93" t="inlineStr">
        <is>
          <t>业务单元</t>
        </is>
      </c>
      <c r="K8" s="93" t="inlineStr">
        <is>
          <t>1、《订单评审记录》；2、《订单台账》；3、《客户沟通记录》；4、《出货通知单》</t>
        </is>
      </c>
      <c r="L8" s="93" t="inlineStr">
        <is>
          <t>按本次组织架构确认更新；月度汇报内容沿用原定义，后续按班组职责细化。</t>
        </is>
      </c>
      <c r="M8" s="93" t="inlineStr">
        <is>
          <t>运营部负责人</t>
        </is>
      </c>
      <c r="N8" s="93" t="inlineStr">
        <is>
          <t>每月2日前</t>
        </is>
      </c>
      <c r="O8" s="93" t="inlineStr">
        <is>
          <t>1、《月度订单台账》；2、《订单交期达成率》；3、《客户投诉与需求汇总》；4、《未交付订单清单》；5、《下月订单预测》</t>
        </is>
      </c>
    </row>
    <row r="9" ht="60" customFormat="1" customHeight="1" s="20">
      <c r="A9" s="93" t="inlineStr">
        <is>
          <t>ORG-ADM-LOG</t>
        </is>
      </c>
      <c r="B9" s="93" t="inlineStr">
        <is>
          <t>后勤组</t>
        </is>
      </c>
      <c r="C9" s="93" t="inlineStr">
        <is>
          <t>班组</t>
        </is>
      </c>
      <c r="D9" s="93" t="inlineStr">
        <is>
          <t>ORG-ADM</t>
        </is>
      </c>
      <c r="E9" s="93" t="inlineStr">
        <is>
          <t>EMP-0020</t>
        </is>
      </c>
      <c r="F9" s="93" t="inlineStr">
        <is>
          <t>王勇</t>
        </is>
      </c>
      <c r="G9" s="93" t="inlineStr">
        <is>
          <t>现行</t>
        </is>
      </c>
      <c r="H9" s="93" t="n"/>
      <c r="I9" s="93" t="n"/>
      <c r="J9" s="93" t="inlineStr">
        <is>
          <t>后勤保障单元</t>
        </is>
      </c>
      <c r="K9" s="93" t="inlineStr">
        <is>
          <t>1、《访客出入登记本》；2、《厂区巡逻记录》；3、《食堂消毒记录》</t>
        </is>
      </c>
      <c r="L9" s="93" t="inlineStr">
        <is>
          <t>按本次组织架构确认更新；月度汇报内容沿用原定义，后续按班组职责细化。</t>
        </is>
      </c>
      <c r="M9" s="93" t="inlineStr">
        <is>
          <t>行政部负责人</t>
        </is>
      </c>
      <c r="N9" s="93" t="inlineStr">
        <is>
          <t>每月2日前</t>
        </is>
      </c>
      <c r="O9" s="93" t="inlineStr">
        <is>
          <t>1、《月度门卫与访客情况》；2、《食堂费用/卫生情况》；3、《后勤维修事项》；4、《安全及环境异常汇总》</t>
        </is>
      </c>
    </row>
    <row r="10" ht="60" customHeight="1" s="42">
      <c r="A10" s="93" t="inlineStr">
        <is>
          <t>ORG-ADM-HR</t>
        </is>
      </c>
      <c r="B10" s="93" t="inlineStr">
        <is>
          <t>人事组</t>
        </is>
      </c>
      <c r="C10" s="93" t="inlineStr">
        <is>
          <t>班组</t>
        </is>
      </c>
      <c r="D10" s="93" t="inlineStr">
        <is>
          <t>ORG-ADM</t>
        </is>
      </c>
      <c r="E10" s="93" t="inlineStr">
        <is>
          <t>EMP-0016</t>
        </is>
      </c>
      <c r="F10" s="93" t="inlineStr">
        <is>
          <t>尹杰</t>
        </is>
      </c>
      <c r="G10" s="93" t="inlineStr">
        <is>
          <t>现行</t>
        </is>
      </c>
      <c r="H10" s="93" t="n"/>
      <c r="I10" s="93" t="n"/>
      <c r="J10" s="93" t="inlineStr">
        <is>
          <t>人事管理单元</t>
        </is>
      </c>
      <c r="K10" s="93" t="inlineStr">
        <is>
          <t>1、《员工人事档案》；2、《入离职表单》；3、《月度考勤汇总表》；4、《招聘台账》；5、《社保办理记录》</t>
        </is>
      </c>
      <c r="L10" s="93" t="inlineStr">
        <is>
          <t>按本次组织架构确认更新；月度汇报内容沿用原定义，后续按班组职责细化。</t>
        </is>
      </c>
      <c r="M10" s="93" t="inlineStr">
        <is>
          <t>行政部负责人</t>
        </is>
      </c>
      <c r="N10" s="93" t="inlineStr">
        <is>
          <t>每月2日前</t>
        </is>
      </c>
      <c r="O10" s="93" t="inlineStr">
        <is>
          <t>1、《月度人员花名册》；2、《入离职汇总》；3、《考勤异常》；4、《招聘进度》；5、《培训与社保办理情况》</t>
        </is>
      </c>
    </row>
    <row r="11" ht="60" customHeight="1" s="42">
      <c r="A11" s="93" t="inlineStr">
        <is>
          <t>ORG-QA</t>
        </is>
      </c>
      <c r="B11" s="93" t="inlineStr">
        <is>
          <t>品质部</t>
        </is>
      </c>
      <c r="C11" s="93" t="inlineStr">
        <is>
          <t>部门</t>
        </is>
      </c>
      <c r="D11" s="93" t="inlineStr">
        <is>
          <t>ORG-GM</t>
        </is>
      </c>
      <c r="E11" s="93" t="inlineStr">
        <is>
          <t>EMP-0017</t>
        </is>
      </c>
      <c r="F11" s="93" t="inlineStr">
        <is>
          <t>李天友</t>
        </is>
      </c>
      <c r="G11" s="93" t="inlineStr">
        <is>
          <t>现行</t>
        </is>
      </c>
      <c r="H11" s="93" t="n"/>
      <c r="I11" s="93" t="n"/>
      <c r="J11" s="93" t="inlineStr">
        <is>
          <t>品质管理部门</t>
        </is>
      </c>
      <c r="K11" s="93" t="inlineStr">
        <is>
          <t>1、《IQC来料检验报告》；2、《制程/终检检验记录》；3、《不合格品处置记录》；4、《客诉闭环报告》；5、《量具校准台账》；6、《受控质量文件》</t>
        </is>
      </c>
      <c r="L11" s="93" t="n"/>
      <c r="M11" s="93" t="inlineStr">
        <is>
          <t>总经理</t>
        </is>
      </c>
      <c r="N11" s="93" t="inlineStr">
        <is>
          <t>每月3日前</t>
        </is>
      </c>
      <c r="O11" s="93" t="inlineStr">
        <is>
          <t>1、《月度质量报告》；2、《来料/制程/出货不良分析》；3、《客户投诉闭环情况》；4、《质量异常汇总》；5、《纠正预防措施跟踪》</t>
        </is>
      </c>
    </row>
    <row r="12" ht="60" customFormat="1" customHeight="1" s="20">
      <c r="A12" s="93" t="inlineStr">
        <is>
          <t>ORG-PROD</t>
        </is>
      </c>
      <c r="B12" s="93" t="inlineStr">
        <is>
          <t>生产部</t>
        </is>
      </c>
      <c r="C12" s="93" t="inlineStr">
        <is>
          <t>部门</t>
        </is>
      </c>
      <c r="D12" s="93" t="inlineStr">
        <is>
          <t>ORG-GM</t>
        </is>
      </c>
      <c r="E12" s="93" t="inlineStr">
        <is>
          <t>EMP-0001</t>
        </is>
      </c>
      <c r="F12" s="93" t="inlineStr">
        <is>
          <t>王小平</t>
        </is>
      </c>
      <c r="G12" s="93" t="inlineStr">
        <is>
          <t>现行</t>
        </is>
      </c>
      <c r="H12" s="93" t="n"/>
      <c r="I12" s="93" t="n"/>
      <c r="J12" s="93" t="inlineStr">
        <is>
          <t>生产管理部门</t>
        </is>
      </c>
      <c r="K12" s="93" t="inlineStr">
        <is>
          <t>1、《生产任务单》；2、《日产量报表》；3、《设备日点检汇总表》；4、《生产异常记录》</t>
        </is>
      </c>
      <c r="L12" s="93" t="n"/>
      <c r="M12" s="93" t="inlineStr">
        <is>
          <t>总经理</t>
        </is>
      </c>
      <c r="N12" s="93" t="inlineStr">
        <is>
          <t>每月3日前</t>
        </is>
      </c>
      <c r="O12" s="93" t="inlineStr">
        <is>
          <t>1、《月度生产完成报告》；2、《产量与达成率分析》；3、《生产异常汇总》；4、《设备与安全5S问题汇总》；5、《下月生产计划》</t>
        </is>
      </c>
    </row>
    <row r="13" ht="60" customFormat="1" customHeight="1" s="20">
      <c r="A13" s="93" t="inlineStr">
        <is>
          <t>ORG-OPS</t>
        </is>
      </c>
      <c r="B13" s="93" t="inlineStr">
        <is>
          <t>运营部</t>
        </is>
      </c>
      <c r="C13" s="93" t="inlineStr">
        <is>
          <t>部门</t>
        </is>
      </c>
      <c r="D13" s="93" t="inlineStr">
        <is>
          <t>ORG-GM</t>
        </is>
      </c>
      <c r="E13" s="93" t="inlineStr">
        <is>
          <t>EMP-0019</t>
        </is>
      </c>
      <c r="F13" s="93" t="inlineStr">
        <is>
          <t>王晓华</t>
        </is>
      </c>
      <c r="G13" s="93" t="inlineStr">
        <is>
          <t>现行</t>
        </is>
      </c>
      <c r="H13" s="93" t="n"/>
      <c r="I13" s="93" t="n"/>
      <c r="J13" s="93" t="inlineStr">
        <is>
          <t>运营管理部门</t>
        </is>
      </c>
      <c r="K13" s="93" t="inlineStr">
        <is>
          <t>1、《订单评审文件》；2、《原材料采购申购单》；3、《仓储盘点汇总》；4、《出货检测报告》</t>
        </is>
      </c>
      <c r="L13" s="93" t="n"/>
      <c r="M13" s="93" t="inlineStr">
        <is>
          <t>总经理</t>
        </is>
      </c>
      <c r="N13" s="93" t="inlineStr">
        <is>
          <t>每月3日前</t>
        </is>
      </c>
      <c r="O13" s="93" t="inlineStr">
        <is>
          <t>1、《月度订单执行报告》；2、《客户交期达成情况》；3、《采购交期异常》；4、《库存与出货协调情况》；5、《重点客户事项》</t>
        </is>
      </c>
    </row>
    <row r="14" ht="60" customFormat="1" customHeight="1" s="20">
      <c r="A14" s="93" t="inlineStr">
        <is>
          <t>ORG-FIN</t>
        </is>
      </c>
      <c r="B14" s="93" t="inlineStr">
        <is>
          <t>财务部</t>
        </is>
      </c>
      <c r="C14" s="93" t="inlineStr">
        <is>
          <t>部门</t>
        </is>
      </c>
      <c r="D14" s="93" t="inlineStr">
        <is>
          <t>ORG-GM</t>
        </is>
      </c>
      <c r="E14" s="93" t="inlineStr">
        <is>
          <t>EMP-0020</t>
        </is>
      </c>
      <c r="F14" s="93" t="inlineStr">
        <is>
          <t>王勇</t>
        </is>
      </c>
      <c r="G14" s="93" t="inlineStr">
        <is>
          <t>现行</t>
        </is>
      </c>
      <c r="H14" s="93" t="n"/>
      <c r="I14" s="93" t="n"/>
      <c r="J14" s="93" t="inlineStr">
        <is>
          <t>财务管理部门</t>
        </is>
      </c>
      <c r="K14" s="93" t="inlineStr">
        <is>
          <t>1、《会计凭证》；2、《月度财务报表》；3、《税务申报表》；4、《资金计划》；5、《付款审批记录》；6、《成本分析报告》</t>
        </is>
      </c>
      <c r="L14" s="93" t="n"/>
      <c r="M14" s="93" t="inlineStr">
        <is>
          <t>董事长、总经理</t>
        </is>
      </c>
      <c r="N14" s="93" t="inlineStr">
        <is>
          <t>每月5日前</t>
        </is>
      </c>
      <c r="O14" s="93" t="inlineStr">
        <is>
          <t>1、《月度财务报表》；2、《资金收支汇总》；3、《应收应付情况》；4、《成本分析》；5、《税务事项》；6、《资金风险提示》</t>
        </is>
      </c>
    </row>
    <row r="15" ht="60" customFormat="1" customHeight="1" s="20">
      <c r="A15" s="93" t="inlineStr">
        <is>
          <t>ORG-ADM</t>
        </is>
      </c>
      <c r="B15" s="93" t="inlineStr">
        <is>
          <t>行政部</t>
        </is>
      </c>
      <c r="C15" s="93" t="inlineStr">
        <is>
          <t>部门</t>
        </is>
      </c>
      <c r="D15" s="93" t="inlineStr">
        <is>
          <t>ORG-GM</t>
        </is>
      </c>
      <c r="E15" s="93" t="inlineStr">
        <is>
          <t>EMP-0020</t>
        </is>
      </c>
      <c r="F15" s="93" t="inlineStr">
        <is>
          <t>王勇</t>
        </is>
      </c>
      <c r="G15" s="93" t="inlineStr">
        <is>
          <t>现行</t>
        </is>
      </c>
      <c r="H15" s="93" t="n"/>
      <c r="I15" s="93" t="n"/>
      <c r="J15" s="93" t="inlineStr">
        <is>
          <t>行政管理部门</t>
        </is>
      </c>
      <c r="K15" s="93" t="inlineStr">
        <is>
          <t>1、《文件员工档案》；2、《安全管理台账》；3、《安全教育培训台账》；4、《后勤管理记录》；5、《招聘/离职资料》</t>
        </is>
      </c>
      <c r="L15" s="93" t="n"/>
      <c r="M15" s="93" t="inlineStr">
        <is>
          <t>总经理</t>
        </is>
      </c>
      <c r="N15" s="93" t="inlineStr">
        <is>
          <t>每月3日前</t>
        </is>
      </c>
      <c r="O15" s="93" t="inlineStr">
        <is>
          <t>1、《月度人事行政报告》；2、《人员异动》；3、《考勤汇总》；4、《招聘进度》；5、《培训完成情况》；6、《安全后勤事项》</t>
        </is>
      </c>
    </row>
    <row r="16" ht="60" customFormat="1" customHeight="1" s="20">
      <c r="A16" s="93" t="inlineStr">
        <is>
          <t>ORG-PROD-WORK</t>
        </is>
      </c>
      <c r="B16" s="93" t="inlineStr">
        <is>
          <t>生产车间</t>
        </is>
      </c>
      <c r="C16" s="93" t="inlineStr">
        <is>
          <t>班组</t>
        </is>
      </c>
      <c r="D16" s="93" t="inlineStr">
        <is>
          <t>ORG-PROD</t>
        </is>
      </c>
      <c r="E16" s="93" t="inlineStr">
        <is>
          <t>EMP-0001</t>
        </is>
      </c>
      <c r="F16" s="93" t="inlineStr">
        <is>
          <t>王小平</t>
        </is>
      </c>
      <c r="G16" s="93" t="inlineStr">
        <is>
          <t>现行</t>
        </is>
      </c>
      <c r="H16" s="93" t="n"/>
      <c r="I16" s="93" t="n"/>
      <c r="J16" s="93" t="inlineStr">
        <is>
          <t>生产执行单元</t>
        </is>
      </c>
      <c r="K16" s="93" t="inlineStr">
        <is>
          <t>1、《冲压半成品/成品》；2、《冲床设备点检记录》；3、《工位生产日报》；4、《现场不良隔离记录》</t>
        </is>
      </c>
      <c r="L16" s="93" t="inlineStr">
        <is>
          <t>按本次组织架构确认更新；月度汇报内容沿用原定义，后续按班组职责细化。</t>
        </is>
      </c>
      <c r="M16" s="93" t="inlineStr">
        <is>
          <t>生产部负责人</t>
        </is>
      </c>
      <c r="N16" s="93" t="inlineStr">
        <is>
          <t>每月2日前</t>
        </is>
      </c>
      <c r="O16" s="93" t="inlineStr">
        <is>
          <t>1、《月度产量汇总》；2、《工时/效率统计》；3、《设备点检异常汇总》；4、《现场不良与停机记录》；5、《人员出勤及加班汇总》</t>
        </is>
      </c>
    </row>
    <row r="17" ht="60" customHeight="1" s="42">
      <c r="A17" s="93" t="inlineStr">
        <is>
          <t>ORG-PROD-TECH</t>
        </is>
      </c>
      <c r="B17" s="93" t="inlineStr">
        <is>
          <t>工程技术组</t>
        </is>
      </c>
      <c r="C17" s="93" t="inlineStr">
        <is>
          <t>班组</t>
        </is>
      </c>
      <c r="D17" s="93" t="inlineStr">
        <is>
          <t>ORG-PROD</t>
        </is>
      </c>
      <c r="E17" s="93" t="inlineStr">
        <is>
          <t>EMP-0018</t>
        </is>
      </c>
      <c r="F17" s="93" t="inlineStr">
        <is>
          <t>刘东</t>
        </is>
      </c>
      <c r="G17" s="93" t="inlineStr">
        <is>
          <t>现行</t>
        </is>
      </c>
      <c r="H17" s="93" t="n"/>
      <c r="I17" s="93" t="n"/>
      <c r="J17" s="93" t="inlineStr">
        <is>
          <t>技术支持单元</t>
        </is>
      </c>
      <c r="K17" s="93" t="inlineStr">
        <is>
          <t>1、《模具技术评审记录》；2、《产品工艺文件》；3、《技术改善报告》；4、《工艺变更建议文档》</t>
        </is>
      </c>
      <c r="L17" s="93" t="inlineStr">
        <is>
          <t>按本次组织架构确认更新；月度汇报内容沿用原定义，后续按班组职责细化。</t>
        </is>
      </c>
      <c r="M17" s="93" t="inlineStr">
        <is>
          <t>生产部负责人</t>
        </is>
      </c>
      <c r="N17" s="93" t="inlineStr">
        <is>
          <t>每月2日前</t>
        </is>
      </c>
      <c r="O17" s="93" t="inlineStr">
        <is>
          <t>1、《月度技术问题清单》；2、《模具/工艺改善报告》；3、《工艺变更建议》；4、《技术支持完成情况》；5、《未关闭问题》</t>
        </is>
      </c>
    </row>
    <row r="18" ht="60" customFormat="1" customHeight="1" s="20">
      <c r="A18" s="93" t="inlineStr">
        <is>
          <t>ORG-PROD-MOLD</t>
        </is>
      </c>
      <c r="B18" s="93" t="inlineStr">
        <is>
          <t>模具维修组</t>
        </is>
      </c>
      <c r="C18" s="93" t="inlineStr">
        <is>
          <t>班组</t>
        </is>
      </c>
      <c r="D18" s="93" t="inlineStr">
        <is>
          <t>ORG-PROD</t>
        </is>
      </c>
      <c r="E18" s="93" t="inlineStr">
        <is>
          <t>EMP-0026</t>
        </is>
      </c>
      <c r="F18" s="93" t="inlineStr">
        <is>
          <t>吴文根</t>
        </is>
      </c>
      <c r="G18" s="93" t="inlineStr">
        <is>
          <t>现行</t>
        </is>
      </c>
      <c r="H18" s="93" t="n"/>
      <c r="I18" s="93" t="n"/>
      <c r="J18" s="93" t="inlineStr">
        <is>
          <t>模具制造/维修单元</t>
        </is>
      </c>
      <c r="K18" s="93" t="inlineStr">
        <is>
          <t>1、《模具维修保养记录》；2、《模具台账》；3、《修模改模图纸台账》；4、《班组巡检记录》</t>
        </is>
      </c>
      <c r="L18" s="93" t="inlineStr">
        <is>
          <t>按本次组织架构确认更新；月度汇报内容沿用原定义，后续按班组职责细化。</t>
        </is>
      </c>
      <c r="M18" s="93" t="inlineStr">
        <is>
          <t>生产部负责人</t>
        </is>
      </c>
      <c r="N18" s="93" t="inlineStr">
        <is>
          <t>每月2日前</t>
        </is>
      </c>
      <c r="O18" s="93" t="inlineStr">
        <is>
          <t>1、《月度模具维修保养汇总》；2、《模具故障统计》；3、《改模任务完成情况》；4、《未完成维修事项》；5、《下月维修计划》</t>
        </is>
      </c>
    </row>
    <row r="19" ht="60" customFormat="1" customHeight="1" s="20">
      <c r="A19" s="93" t="inlineStr">
        <is>
          <t>ORG-PROD-WASH</t>
        </is>
      </c>
      <c r="B19" s="93" t="inlineStr">
        <is>
          <t>清洗车间</t>
        </is>
      </c>
      <c r="C19" s="93" t="inlineStr">
        <is>
          <t>班组</t>
        </is>
      </c>
      <c r="D19" s="93" t="inlineStr">
        <is>
          <t>ORG-PROD</t>
        </is>
      </c>
      <c r="E19" s="93" t="inlineStr">
        <is>
          <t>EMP-0021</t>
        </is>
      </c>
      <c r="F19" s="93" t="inlineStr">
        <is>
          <t>马金军</t>
        </is>
      </c>
      <c r="G19" s="93" t="inlineStr">
        <is>
          <t>现行</t>
        </is>
      </c>
      <c r="H19" s="93" t="n"/>
      <c r="I19" s="93" t="n"/>
      <c r="J19" s="93" t="inlineStr">
        <is>
          <t>产品清洗单元</t>
        </is>
      </c>
      <c r="K19" s="93" t="inlineStr">
        <is>
          <t>1、《清洗作业记录》；2、《清洗设备点检表》；3、《不良隔离记录》</t>
        </is>
      </c>
      <c r="L19" s="93" t="inlineStr">
        <is>
          <t>清洗车间已纳入现行组织架构，马金军为清洗组长。</t>
        </is>
      </c>
      <c r="M19" s="93" t="inlineStr">
        <is>
          <t>生产部负责人</t>
        </is>
      </c>
      <c r="N19" s="93" t="inlineStr">
        <is>
          <t>每月2日前</t>
        </is>
      </c>
      <c r="O19" s="93" t="inlineStr">
        <is>
          <t>1、《月度清洗产量统计》；2、《清洗不良汇总》；3、《设备点检异常》；4、《耗材使用汇总》；5、《下月任务需求》</t>
        </is>
      </c>
    </row>
    <row r="20" ht="60" customFormat="1" customHeight="1" s="20">
      <c r="A20" s="93" t="inlineStr">
        <is>
          <t>ORG-GM</t>
        </is>
      </c>
      <c r="B20" s="93" t="inlineStr">
        <is>
          <t>总经理</t>
        </is>
      </c>
      <c r="C20" s="93" t="inlineStr">
        <is>
          <t>公司</t>
        </is>
      </c>
      <c r="D20" s="93" t="inlineStr">
        <is>
          <t>ORG-ROOT</t>
        </is>
      </c>
      <c r="E20" s="93" t="inlineStr">
        <is>
          <t>EMP-0019</t>
        </is>
      </c>
      <c r="F20" s="93" t="inlineStr">
        <is>
          <t>王晓华</t>
        </is>
      </c>
      <c r="G20" s="93" t="inlineStr">
        <is>
          <t>现行</t>
        </is>
      </c>
      <c r="H20" s="93" t="n"/>
      <c r="I20" s="93" t="n"/>
      <c r="J20" s="93" t="inlineStr">
        <is>
          <t>公司经营管理与跨部门协调</t>
        </is>
      </c>
      <c r="K20" s="93" t="inlineStr">
        <is>
          <t>1、《经营管理会议纪要》；2、《月度经营分析报告》；3、《重点事项跟踪表》</t>
        </is>
      </c>
      <c r="L20" s="93" t="inlineStr">
        <is>
          <t>与董事长同属公司层级；负责日常经营管理和五个一级部门统筹协调。</t>
        </is>
      </c>
      <c r="M20" s="93" t="n"/>
      <c r="N20" s="93" t="n"/>
      <c r="O20" s="93" t="n"/>
    </row>
    <row r="21" ht="60" customHeight="1" s="42">
      <c r="A21" s="93" t="inlineStr">
        <is>
          <t>ORG-QA-FG</t>
        </is>
      </c>
      <c r="B21" s="93" t="inlineStr">
        <is>
          <t>成品出货检验组</t>
        </is>
      </c>
      <c r="C21" s="93" t="inlineStr">
        <is>
          <t>班组</t>
        </is>
      </c>
      <c r="D21" s="93" t="inlineStr">
        <is>
          <t>ORG-QA</t>
        </is>
      </c>
      <c r="E21" s="93" t="inlineStr">
        <is>
          <t>EMP-0017</t>
        </is>
      </c>
      <c r="F21" s="93" t="inlineStr">
        <is>
          <t>李天友</t>
        </is>
      </c>
      <c r="G21" s="93" t="inlineStr">
        <is>
          <t>现行</t>
        </is>
      </c>
      <c r="H21" s="93" t="n"/>
      <c r="I21" s="93" t="n"/>
      <c r="J21" s="93" t="inlineStr">
        <is>
          <t>品质管理班组</t>
        </is>
      </c>
      <c r="K21" s="93" t="inlineStr">
        <is>
          <t>1、《月度制程/成品检验汇总》；2、《出货质量报告》；3、《客户质量异常跟踪》</t>
        </is>
      </c>
      <c r="L21" s="93" t="inlineStr">
        <is>
          <t>合并承担来料检查、成品检验和出货检验职责；分别按来料、成品和出货检验要求记录与处理异常。</t>
        </is>
      </c>
      <c r="M21" s="93" t="n"/>
      <c r="N21" s="93" t="n"/>
      <c r="O21" s="93" t="n"/>
    </row>
    <row r="22" ht="60" customHeight="1" s="42">
      <c r="A22" s="93" t="inlineStr">
        <is>
          <t>ORG-FIN-ACC</t>
        </is>
      </c>
      <c r="B22" s="93" t="inlineStr">
        <is>
          <t>会计组</t>
        </is>
      </c>
      <c r="C22" s="93" t="inlineStr">
        <is>
          <t>班组</t>
        </is>
      </c>
      <c r="D22" s="93" t="inlineStr">
        <is>
          <t>ORG-FIN</t>
        </is>
      </c>
      <c r="E22" s="93" t="inlineStr">
        <is>
          <t>EMP-0020</t>
        </is>
      </c>
      <c r="F22" s="93" t="inlineStr">
        <is>
          <t>王勇</t>
        </is>
      </c>
      <c r="G22" s="93" t="inlineStr">
        <is>
          <t>现行</t>
        </is>
      </c>
      <c r="H22" s="93" t="n"/>
      <c r="I22" s="93" t="n"/>
      <c r="J22" s="93" t="inlineStr">
        <is>
          <t>财务班组</t>
        </is>
      </c>
      <c r="K22" s="93" t="inlineStr">
        <is>
          <t>1、《月度财务报表》；2、《税务申报汇总》；3、《成本分析报告》</t>
        </is>
      </c>
      <c r="L22" s="93" t="inlineStr">
        <is>
          <t>会计核算与税务</t>
        </is>
      </c>
      <c r="M22" s="93" t="n"/>
      <c r="N22" s="93" t="n"/>
      <c r="O22" s="93" t="n"/>
    </row>
    <row r="23" ht="60" customHeight="1" s="42">
      <c r="A23" s="93" t="inlineStr">
        <is>
          <t>ORG-FIN-CASH</t>
        </is>
      </c>
      <c r="B23" s="93" t="inlineStr">
        <is>
          <t>出纳组</t>
        </is>
      </c>
      <c r="C23" s="93" t="inlineStr">
        <is>
          <t>班组</t>
        </is>
      </c>
      <c r="D23" s="93" t="inlineStr">
        <is>
          <t>ORG-FIN</t>
        </is>
      </c>
      <c r="E23" s="93" t="inlineStr">
        <is>
          <t>EMP-0020</t>
        </is>
      </c>
      <c r="F23" s="93" t="inlineStr">
        <is>
          <t>王勇</t>
        </is>
      </c>
      <c r="G23" s="93" t="inlineStr">
        <is>
          <t>现行</t>
        </is>
      </c>
      <c r="H23" s="93" t="n"/>
      <c r="I23" s="93" t="n"/>
      <c r="J23" s="93" t="inlineStr">
        <is>
          <t>财务班组</t>
        </is>
      </c>
      <c r="K23" s="93" t="inlineStr">
        <is>
          <t>1、《月度资金收支汇总》；2、《银行对账》；3、《付款执行清单》</t>
        </is>
      </c>
      <c r="L23" s="93" t="inlineStr">
        <is>
          <t>资金收付与台账</t>
        </is>
      </c>
      <c r="M23" s="93" t="n"/>
      <c r="N23" s="93" t="n"/>
      <c r="O23" s="93" t="n"/>
    </row>
    <row r="24" ht="60" customHeight="1" s="42">
      <c r="A24" s="93" t="inlineStr">
        <is>
          <t>ORG-CHAIR</t>
        </is>
      </c>
      <c r="B24" s="93" t="inlineStr">
        <is>
          <t>董事长</t>
        </is>
      </c>
      <c r="C24" s="93" t="inlineStr">
        <is>
          <t>公司</t>
        </is>
      </c>
      <c r="D24" s="93" t="inlineStr">
        <is>
          <t>ORG-ROOT</t>
        </is>
      </c>
      <c r="E24" s="93" t="inlineStr">
        <is>
          <t>EMP-0020</t>
        </is>
      </c>
      <c r="F24" s="93" t="inlineStr">
        <is>
          <t>王勇</t>
        </is>
      </c>
      <c r="G24" s="93" t="inlineStr">
        <is>
          <t>现行</t>
        </is>
      </c>
      <c r="H24" s="93" t="n"/>
      <c r="I24" s="93" t="n"/>
      <c r="J24" s="93" t="inlineStr">
        <is>
          <t>公司治理与重大决策</t>
        </is>
      </c>
      <c r="K24" s="93" t="inlineStr">
        <is>
          <t>1、《战略规划文件》；2、《重大事项审批记录》</t>
        </is>
      </c>
      <c r="L24" s="93" t="inlineStr">
        <is>
          <t>董事长：王勇（EMP-0020）。</t>
        </is>
      </c>
      <c r="M24" s="93" t="inlineStr">
        <is>
          <t>公司</t>
        </is>
      </c>
      <c r="N24" s="93" t="inlineStr">
        <is>
          <t>每月5日前</t>
        </is>
      </c>
      <c r="O24" s="93" t="inlineStr">
        <is>
          <t>1、《年度经营目标》；2、《重大事项审批清单》；3、《组织与授权变更记录》</t>
        </is>
      </c>
    </row>
    <row r="25" ht="60" customHeight="1" s="42">
      <c r="A25" s="93" t="inlineStr">
        <is>
          <t>ORG-QA-IPQC</t>
        </is>
      </c>
      <c r="B25" s="93" t="inlineStr">
        <is>
          <t>制程巡检组</t>
        </is>
      </c>
      <c r="C25" s="93" t="inlineStr">
        <is>
          <t>班组</t>
        </is>
      </c>
      <c r="D25" s="93" t="inlineStr">
        <is>
          <t>ORG-QA</t>
        </is>
      </c>
      <c r="E25" s="93" t="inlineStr">
        <is>
          <t>EMP-0017</t>
        </is>
      </c>
      <c r="F25" s="93" t="inlineStr">
        <is>
          <t>李天友</t>
        </is>
      </c>
      <c r="G25" s="93" t="inlineStr">
        <is>
          <t>现行</t>
        </is>
      </c>
      <c r="H25" s="93" t="n"/>
      <c r="I25" s="93" t="n"/>
      <c r="J25" s="93" t="inlineStr">
        <is>
          <t>制程质量巡检单元</t>
        </is>
      </c>
      <c r="K25" s="93" t="inlineStr">
        <is>
          <t>1、《制程巡检记录》；2、《制程异常反馈单》</t>
        </is>
      </c>
      <c r="L25" s="93" t="inlineStr">
        <is>
          <t>制程巡检、首件复核和现场不良隔离。</t>
        </is>
      </c>
      <c r="M25" s="93" t="inlineStr">
        <is>
          <t>品质部负责人</t>
        </is>
      </c>
      <c r="N25" s="93" t="inlineStr">
        <is>
          <t>每月2日前</t>
        </is>
      </c>
      <c r="O25" s="93" t="inlineStr">
        <is>
          <t>1、《月度制程质量汇总》；2、《制程异常汇总》；3、《未关闭质量问题》</t>
        </is>
      </c>
    </row>
    <row r="26" ht="15" customHeight="1" s="42"/>
    <row r="27" ht="15" customHeight="1" s="42"/>
    <row r="28" ht="15" customHeight="1" s="42"/>
    <row r="29" ht="15" customHeight="1" s="42"/>
    <row r="30" ht="15" customHeight="1" s="42"/>
    <row r="31" ht="15" customHeight="1" s="42"/>
    <row r="32" ht="15" customHeight="1" s="42"/>
    <row r="33" ht="15" customHeight="1" s="42"/>
    <row r="34" ht="15" customHeight="1" s="42"/>
    <row r="35" ht="15" customHeight="1" s="42"/>
    <row r="36" ht="15" customHeight="1" s="42"/>
    <row r="37" ht="15" customHeight="1" s="42"/>
    <row r="38" ht="15" customHeight="1" s="42"/>
    <row r="39" ht="15" customHeight="1" s="42"/>
    <row r="40" ht="15" customHeight="1" s="42"/>
    <row r="41" ht="15" customHeight="1" s="42"/>
    <row r="42" ht="15" customHeight="1" s="42"/>
    <row r="43" ht="15" customHeight="1" s="42"/>
    <row r="44" ht="15" customHeight="1" s="42"/>
    <row r="45" ht="15" customHeight="1" s="42"/>
    <row r="46" ht="15" customHeight="1" s="42"/>
    <row r="47" ht="15" customHeight="1" s="42"/>
    <row r="48" ht="15" customHeight="1" s="42"/>
    <row r="49" ht="15" customHeight="1" s="42"/>
    <row r="50" ht="15" customHeight="1" s="42"/>
    <row r="51" ht="15" customHeight="1" s="42"/>
    <row r="52" ht="15" customHeight="1" s="42"/>
  </sheetData>
  <autoFilter ref="A4:O25">
    <sortState ref="A4:L52">
      <sortCondition descending="1" ref="C4:C54"/>
    </sortState>
  </autoFilter>
  <mergeCells count="3">
    <mergeCell ref="A2:L2"/>
    <mergeCell ref="M2:O2"/>
    <mergeCell ref="A1:L1"/>
  </mergeCells>
  <dataValidations count="3">
    <dataValidation sqref="B5:B52" showDropDown="0" showInputMessage="0" showErrorMessage="0" allowBlank="1" errorTitle="选项无效" error="请从下拉选项中选择。" promptTitle="填写提示" prompt="请选择标准值。" type="list">
      <formula1>Opt_组织单元</formula1>
    </dataValidation>
    <dataValidation sqref="C5:C52" showDropDown="0" showInputMessage="0" showErrorMessage="0" allowBlank="1" errorTitle="填写值无效" error="请从下拉列表中选择标准值。" promptTitle="填写提示" prompt="请选择标准值。" type="list">
      <formula1>"公司,部门,班组,项目组,职能单元,其他"</formula1>
    </dataValidation>
    <dataValidation sqref="G5:G52" showDropDown="0" showInputMessage="0" showErrorMessage="0" allowBlank="1" errorTitle="填写值无效" error="请从下拉列表中选择标准值。" promptTitle="填写提示" prompt="请选择标准值。" type="list">
      <formula1>"现行,筹备,规划,停用,待确认"</formula1>
    </dataValidation>
  </dataValidations>
  <pageMargins left="0.25" right="0.25" top="0.45" bottom="0.45" header="0.5" footer="0.5"/>
  <pageSetup orientation="landscape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80"/>
  <sheetViews>
    <sheetView showGridLines="0" zoomScale="90" zoomScaleNormal="90" workbookViewId="0">
      <selection activeCell="D10" sqref="D10"/>
    </sheetView>
  </sheetViews>
  <sheetFormatPr baseColWidth="8" defaultColWidth="9" defaultRowHeight="14.4"/>
  <cols>
    <col width="22.44140625" customWidth="1" style="42" min="1" max="1"/>
    <col width="20" customWidth="1" style="42" min="2" max="2"/>
    <col width="18" customWidth="1" style="42" min="3" max="3"/>
    <col width="14" customWidth="1" style="42" min="4" max="4"/>
    <col width="12" customWidth="1" style="42" min="5" max="5"/>
    <col width="53.21875" customWidth="1" style="42" min="6" max="6"/>
    <col width="102.33203125" bestFit="1" customWidth="1" style="42" min="7" max="7"/>
    <col width="46.33203125" bestFit="1" customWidth="1" style="42" min="8" max="8"/>
    <col width="90.21875" bestFit="1" customWidth="1" style="42" min="9" max="9"/>
    <col width="48.44140625" bestFit="1" customWidth="1" style="42" min="10" max="10"/>
    <col width="16" customWidth="1" style="42" min="11" max="11"/>
    <col width="28" customWidth="1" style="42" min="12" max="12"/>
  </cols>
  <sheetData>
    <row r="1" ht="30" customHeight="1" s="42">
      <c r="A1" s="96" t="inlineStr">
        <is>
          <t>03｜岗位字典</t>
        </is>
      </c>
    </row>
    <row r="2" ht="24" customHeight="1" s="42">
      <c r="A2" s="41" t="inlineStr">
        <is>
          <t>岗位名称可根据实际工作需要自定义；岗位所属组织单元及岗位层级须引用“02_组织单元”中的正式架构。岗位层级格式为“公司/部门/班组＋负责人/成员”。</t>
        </is>
      </c>
    </row>
    <row r="3" ht="8" customHeight="1" s="42"/>
    <row r="4" ht="30" customHeight="1" s="42">
      <c r="A4" s="51" t="inlineStr">
        <is>
          <t>岗位ID*</t>
        </is>
      </c>
      <c r="B4" s="51" t="inlineStr">
        <is>
          <t>岗位名称*</t>
        </is>
      </c>
      <c r="C4" s="51" t="inlineStr">
        <is>
          <t>所属组织单元ID</t>
        </is>
      </c>
      <c r="D4" s="51" t="inlineStr">
        <is>
          <t>岗位层级</t>
        </is>
      </c>
      <c r="E4" s="51" t="inlineStr">
        <is>
          <t>岗位状态</t>
        </is>
      </c>
      <c r="F4" s="51" t="inlineStr">
        <is>
          <t>岗位目的</t>
        </is>
      </c>
      <c r="G4" s="51" t="inlineStr">
        <is>
          <t>核心职责</t>
        </is>
      </c>
      <c r="H4" s="51" t="inlineStr">
        <is>
          <t>关键输出物</t>
        </is>
      </c>
      <c r="I4" s="51" t="inlineStr">
        <is>
          <t>关键权限</t>
        </is>
      </c>
      <c r="J4" s="51" t="inlineStr">
        <is>
          <t>任职要求/能力</t>
        </is>
      </c>
      <c r="K4" s="51" t="inlineStr">
        <is>
          <t>替代岗位ID</t>
        </is>
      </c>
      <c r="L4" s="51" t="inlineStr">
        <is>
          <t>备注</t>
        </is>
      </c>
    </row>
    <row r="5" ht="42" customHeight="1" s="42">
      <c r="A5" s="93" t="inlineStr">
        <is>
          <t>POS-CHAIR</t>
        </is>
      </c>
      <c r="B5" s="93" t="inlineStr">
        <is>
          <t>董事长</t>
        </is>
      </c>
      <c r="C5" s="93" t="inlineStr">
        <is>
          <t>ORG-ROOT</t>
        </is>
      </c>
      <c r="D5" s="93" t="inlineStr">
        <is>
          <t>公司负责人</t>
        </is>
      </c>
      <c r="E5" s="93" t="inlineStr">
        <is>
          <t>现行</t>
        </is>
      </c>
      <c r="F5" s="93" t="inlineStr">
        <is>
          <t>把控公司战略方向，重大经营决策、风险管控</t>
        </is>
      </c>
      <c r="G5" s="93" t="inlineStr">
        <is>
          <t>公司战略规划；重大投资、人事组、财务事项审批；监督总经理经营履职；重大对外决策</t>
        </is>
      </c>
      <c r="H5" s="93" t="inlineStr">
        <is>
          <t>1、《战略规划文件》；2、《重大事项审批记录》</t>
        </is>
      </c>
      <c r="I5" s="93" t="inlineStr">
        <is>
          <t>重大投资审批权、高层人事任免权、重大财务审批权</t>
        </is>
      </c>
      <c r="J5" s="93" t="inlineStr">
        <is>
          <t>企业经营战略、风险管理、行业研判能力</t>
        </is>
      </c>
      <c r="K5" s="5" t="n"/>
      <c r="L5" s="5" t="n"/>
    </row>
    <row r="6" ht="42" customHeight="1" s="42">
      <c r="A6" s="92" t="inlineStr">
        <is>
          <t>POS-GM</t>
        </is>
      </c>
      <c r="B6" s="92" t="inlineStr">
        <is>
          <t>总经理</t>
        </is>
      </c>
      <c r="C6" s="92" t="inlineStr">
        <is>
          <t>ORG-ROOT</t>
        </is>
      </c>
      <c r="D6" s="92" t="inlineStr">
        <is>
          <t>公司负责人</t>
        </is>
      </c>
      <c r="E6" s="92" t="inlineStr">
        <is>
          <t>现行</t>
        </is>
      </c>
      <c r="F6" s="92" t="inlineStr">
        <is>
          <t>全面负责公司日常经营管理，对经营结果最终负责</t>
        </is>
      </c>
      <c r="G6" s="92" t="inlineStr">
        <is>
          <t>执行董事会战略；统筹各部门运营；经营目标拆解落地；跨部门冲突协调；经营绩效管控；重大客户与供应商管理</t>
        </is>
      </c>
      <c r="H6" s="92" t="inlineStr">
        <is>
          <t>1、《待确认》</t>
        </is>
      </c>
      <c r="I6" s="92" t="inlineStr">
        <is>
          <t>年度经营计划、经营分析报告、部门绩效目标；日常经营决策权、部门工作调度权、一般人事审批权</t>
        </is>
      </c>
      <c r="J6" s="92" t="inlineStr">
        <is>
          <t>制造业全盘运营管理，生产质量财务综合管理能力</t>
        </is>
      </c>
      <c r="K6" s="7" t="n"/>
      <c r="L6" s="7" t="n"/>
    </row>
    <row r="7" ht="42" customHeight="1" s="42">
      <c r="A7" s="93" t="inlineStr">
        <is>
          <t>POS-FIN--MGR</t>
        </is>
      </c>
      <c r="B7" s="93" t="inlineStr">
        <is>
          <t>财务部负责人</t>
        </is>
      </c>
      <c r="C7" s="93" t="inlineStr">
        <is>
          <t>ORG-FIN</t>
        </is>
      </c>
      <c r="D7" s="93" t="inlineStr">
        <is>
          <t>部门负责人</t>
        </is>
      </c>
      <c r="E7" s="92" t="inlineStr">
        <is>
          <t>现行</t>
        </is>
      </c>
      <c r="F7" s="93" t="inlineStr">
        <is>
          <t>统筹财务核算、资金、税务、成本管理，保障资金安全合规</t>
        </is>
      </c>
      <c r="G7" s="93" t="inlineStr">
        <is>
          <t>全盘账务管理；资金计划与付款审批；税务申报；成本核算；财务报表；会计出纳工作监督复核；内控风险把控</t>
        </is>
      </c>
      <c r="H7" s="93" t="inlineStr">
        <is>
          <t>1、《年度经营计》</t>
        </is>
      </c>
      <c r="I7" s="93" t="inlineStr">
        <is>
          <t>待确认</t>
        </is>
      </c>
      <c r="J7" s="93" t="inlineStr">
        <is>
          <t>待确认</t>
        </is>
      </c>
      <c r="K7" s="5" t="n"/>
      <c r="L7" s="5" t="n"/>
    </row>
    <row r="8" ht="42" customHeight="1" s="42">
      <c r="A8" s="92" t="inlineStr">
        <is>
          <t>POS-OPS-MGR</t>
        </is>
      </c>
      <c r="B8" s="92" t="inlineStr">
        <is>
          <t>运营部负责人</t>
        </is>
      </c>
      <c r="C8" s="92" t="inlineStr">
        <is>
          <t>ORG-OPS</t>
        </is>
      </c>
      <c r="D8" s="92" t="inlineStr">
        <is>
          <t>部门负责人</t>
        </is>
      </c>
      <c r="E8" s="92" t="inlineStr">
        <is>
          <t>现行</t>
        </is>
      </c>
      <c r="F8" s="92" t="inlineStr">
        <is>
          <t>合同订单、客户、采购和仓储运营管理</t>
        </is>
      </c>
      <c r="G8" s="92" t="inlineStr">
        <is>
          <t>合同/订单评审、客户沟通、业务跟单、采购组、供应商、物料入库和仓储控制</t>
        </is>
      </c>
      <c r="H8" s="92" t="inlineStr">
        <is>
          <t>1、《财务报表》；2、《资金计划》；3、《税务申报表》；4、《成本分析报告》</t>
        </is>
      </c>
      <c r="I8" s="92" t="inlineStr">
        <is>
          <t>资金付款复核审批、账务审核、财务制度拟定权</t>
        </is>
      </c>
      <c r="J8" s="92" t="inlineStr">
        <is>
          <t>财务全盘管理、税务、成本核算、内控风险识别</t>
        </is>
      </c>
      <c r="K8" s="7" t="n"/>
      <c r="L8" s="7" t="n"/>
    </row>
    <row r="9" ht="42" customHeight="1" s="42">
      <c r="A9" s="93" t="inlineStr">
        <is>
          <t>POS-ADM-MGR</t>
        </is>
      </c>
      <c r="B9" s="93" t="inlineStr">
        <is>
          <t>行政部负责人</t>
        </is>
      </c>
      <c r="C9" s="93" t="inlineStr">
        <is>
          <t>ORG-ADM</t>
        </is>
      </c>
      <c r="D9" s="93" t="inlineStr">
        <is>
          <t>部门负责人</t>
        </is>
      </c>
      <c r="E9" s="93" t="inlineStr">
        <is>
          <t>现行</t>
        </is>
      </c>
      <c r="F9" s="93" t="inlineStr">
        <is>
          <t>行政、人力资源和培训管理</t>
        </is>
      </c>
      <c r="G9" s="93" t="inlineStr">
        <is>
          <t>制度、人事档案、招聘离职、培训考核和企业文化</t>
        </is>
      </c>
      <c r="H9" s="93" t="inlineStr">
        <is>
          <t>1、《员工档案》；2、《培训记录》；3、《招聘/离职资料》</t>
        </is>
      </c>
      <c r="I9" s="93" t="inlineStr">
        <is>
          <t>招聘、解雇及行政审批权限待确认</t>
        </is>
      </c>
      <c r="J9" s="93" t="inlineStr">
        <is>
          <t>人事组、培训和行政管理能力待确认</t>
        </is>
      </c>
      <c r="K9" s="5" t="n"/>
      <c r="L9" s="5" t="n"/>
    </row>
    <row r="10" ht="42" customHeight="1" s="42">
      <c r="A10" s="92" t="inlineStr">
        <is>
          <t>POS-PROD-MGR</t>
        </is>
      </c>
      <c r="B10" s="92" t="inlineStr">
        <is>
          <t>生产部负责人</t>
        </is>
      </c>
      <c r="C10" s="93" t="inlineStr">
        <is>
          <t>ORG-PROD</t>
        </is>
      </c>
      <c r="D10" s="92" t="inlineStr">
        <is>
          <t>部门负责人</t>
        </is>
      </c>
      <c r="E10" s="92" t="inlineStr">
        <is>
          <t>现行</t>
        </is>
      </c>
      <c r="F10" s="92" t="inlineStr">
        <is>
          <t>生产计划与现场生产管理</t>
        </is>
      </c>
      <c r="G10" s="92" t="inlineStr">
        <is>
          <t>人员进出登记；外来访客登记；车辆进出管理；厂区夜间巡逻；厂区安防异常上报</t>
        </is>
      </c>
      <c r="H10" s="92" t="inlineStr">
        <is>
          <t>1、《访客登记本》；2、《巡逻记录》</t>
        </is>
      </c>
      <c r="I10" s="92" t="inlineStr">
        <is>
          <t>生产调度和停产/恢复权限待确认</t>
        </is>
      </c>
      <c r="J10" s="92" t="inlineStr">
        <is>
          <t>生产计划、现场管理和安全管理能力待确认</t>
        </is>
      </c>
      <c r="K10" s="7" t="n"/>
      <c r="L10" s="7" t="n"/>
    </row>
    <row r="11" ht="42" customHeight="1" s="42">
      <c r="A11" s="93" t="inlineStr">
        <is>
          <t>POS-QA-MGR</t>
        </is>
      </c>
      <c r="B11" s="93" t="inlineStr">
        <is>
          <t>品质部负责人</t>
        </is>
      </c>
      <c r="C11" s="93" t="inlineStr">
        <is>
          <t>ORG-QA</t>
        </is>
      </c>
      <c r="D11" s="93" t="inlineStr">
        <is>
          <t>部门负责人</t>
        </is>
      </c>
      <c r="E11" s="93" t="inlineStr">
        <is>
          <t>现行</t>
        </is>
      </c>
      <c r="F11" s="93" t="inlineStr">
        <is>
          <t>员工食堂食材加工、餐食制作、食堂环境卫生</t>
        </is>
      </c>
      <c r="G11" s="93" t="inlineStr">
        <is>
          <t>三餐制作；厨具清洁消毒；食堂区域卫生；食材保管；餐具清洗消毒</t>
        </is>
      </c>
      <c r="H11" s="93" t="inlineStr">
        <is>
          <t>1、《食堂就餐保障》；2、《厨具消毒记录》</t>
        </is>
      </c>
      <c r="I11" s="93" t="inlineStr">
        <is>
          <t>允收/拒收、放行、隔离和客诉改善权限待确认</t>
        </is>
      </c>
      <c r="J11" s="93" t="inlineStr">
        <is>
          <t>质量检验、根因分析、体系和统计技术能力待确认</t>
        </is>
      </c>
      <c r="K11" s="5" t="n"/>
      <c r="L11" s="5" t="n"/>
    </row>
    <row r="12" ht="42" customHeight="1" s="42">
      <c r="A12" s="93" t="inlineStr">
        <is>
          <t>POS-ADM-SEC</t>
        </is>
      </c>
      <c r="B12" s="93" t="inlineStr">
        <is>
          <t>门卫</t>
        </is>
      </c>
      <c r="C12" s="93" t="inlineStr">
        <is>
          <t>ORG-ADM-LOG</t>
        </is>
      </c>
      <c r="D12" s="93" t="inlineStr">
        <is>
          <t>班组成员</t>
        </is>
      </c>
      <c r="E12" s="92" t="inlineStr">
        <is>
          <t>现行</t>
        </is>
      </c>
      <c r="F12" s="93" t="inlineStr">
        <is>
          <t>成品包装、标识，按要求完成出货包装作业</t>
        </is>
      </c>
      <c r="G12" s="93" t="inlineStr">
        <is>
          <t>人员进出登记；外来访客登记；车辆进出管理；厂区夜间巡逻；厂区安防异常上报</t>
        </is>
      </c>
      <c r="H12" s="93" t="inlineStr">
        <is>
          <t>1、《访登记本》；2、《巡逻记录》</t>
        </is>
      </c>
      <c r="I12" s="93" t="inlineStr">
        <is>
          <t>出入登记核查权限</t>
        </is>
      </c>
      <c r="J12" s="93" t="inlineStr">
        <is>
          <t>服从排班，安保值守，基础应急识别</t>
        </is>
      </c>
      <c r="K12" s="5" t="n"/>
      <c r="L12" s="5" t="n"/>
    </row>
    <row r="13" ht="42" customHeight="1" s="42">
      <c r="A13" s="93" t="inlineStr">
        <is>
          <t>POS-ADM-SK</t>
        </is>
      </c>
      <c r="B13" s="92" t="inlineStr">
        <is>
          <t>炊事员</t>
        </is>
      </c>
      <c r="C13" s="93" t="inlineStr">
        <is>
          <t>ORG-ADM-LOG</t>
        </is>
      </c>
      <c r="D13" s="92" t="inlineStr">
        <is>
          <t>班组成员</t>
        </is>
      </c>
      <c r="E13" s="92" t="inlineStr">
        <is>
          <t>现行</t>
        </is>
      </c>
      <c r="F13" s="92" t="inlineStr">
        <is>
          <t>员工食堂食材加工、餐食制作、食堂环境卫生员工</t>
        </is>
      </c>
      <c r="G13" s="92" t="inlineStr">
        <is>
          <t>三餐制作；厨具清洁消毒；食堂区域卫生；食材保管；餐具清洗消毒食</t>
        </is>
      </c>
      <c r="H13" s="92" t="inlineStr">
        <is>
          <t>1、《堂就餐保障》；2、《厨具消毒记录食》</t>
        </is>
      </c>
      <c r="I13" s="92" t="inlineStr">
        <is>
          <t>堂食材使用、厨具管理权限</t>
        </is>
      </c>
      <c r="J13" s="92" t="inlineStr">
        <is>
          <t>食品加工，卫生操作规范</t>
        </is>
      </c>
      <c r="K13" s="7" t="n"/>
      <c r="L13" s="7" t="n"/>
    </row>
    <row r="14" ht="42" customHeight="1" s="42">
      <c r="A14" s="92" t="inlineStr">
        <is>
          <t>POS-PROD-PK</t>
        </is>
      </c>
      <c r="B14" s="93" t="inlineStr">
        <is>
          <t>包装工</t>
        </is>
      </c>
      <c r="C14" s="93" t="inlineStr">
        <is>
          <t>ORG-OPS-WH</t>
        </is>
      </c>
      <c r="D14" s="93" t="inlineStr">
        <is>
          <t>班组成员</t>
        </is>
      </c>
      <c r="E14" s="92" t="inlineStr">
        <is>
          <t>现行</t>
        </is>
      </c>
      <c r="F14" s="93" t="inlineStr">
        <is>
          <t>操作冲床设备，按工艺完成产品冲压生产</t>
        </is>
      </c>
      <c r="G14" s="93" t="inlineStr">
        <is>
          <t>设备开机点检；按作业指导书进行冲压作业；首件确认；生产自检；设备日常保养；工位5S；不良品隔离</t>
        </is>
      </c>
      <c r="H14" s="93" t="inlineStr">
        <is>
          <t>1、《包装完成成品》；2、《包装作业记录》</t>
        </is>
      </c>
      <c r="I14" s="93" t="inlineStr">
        <is>
          <t>包装物料领用权限</t>
        </is>
      </c>
      <c r="J14" s="93" t="inlineStr">
        <is>
          <t>看懂包装要求，动手包装作业</t>
        </is>
      </c>
      <c r="K14" s="5" t="n"/>
      <c r="L14" s="5" t="n"/>
    </row>
    <row r="15" ht="42" customHeight="1" s="42">
      <c r="A15" s="92" t="inlineStr">
        <is>
          <t>POS-PROD-WH</t>
        </is>
      </c>
      <c r="B15" s="92" t="inlineStr">
        <is>
          <t>仓库员</t>
        </is>
      </c>
      <c r="C15" s="93" t="inlineStr">
        <is>
          <t>ORG-OPS-WH</t>
        </is>
      </c>
      <c r="D15" s="92" t="inlineStr">
        <is>
          <t>班组成员</t>
        </is>
      </c>
      <c r="E15" s="92" t="inlineStr">
        <is>
          <t>现行</t>
        </is>
      </c>
      <c r="F15" s="92" t="inlineStr">
        <is>
          <t>物料、半成品、成品出入库，库存台账管理，仓储5S</t>
        </is>
      </c>
      <c r="G15" s="92" t="inlineStr">
        <is>
          <t>物料收货入库；物料出库发料；成品入库出货；库位管理；盘点；物料防护；台账登记</t>
        </is>
      </c>
      <c r="H15" s="92" t="inlineStr">
        <is>
          <t>1、《出入库单据》；2、《库存台账》；3、《盘点表》</t>
        </is>
      </c>
      <c r="I15" s="92" t="inlineStr">
        <is>
          <t>物料收发、库位调整权限</t>
        </is>
      </c>
      <c r="J15" s="92" t="inlineStr">
        <is>
          <t>仓库账务、物料识别、盘点作业</t>
        </is>
      </c>
      <c r="K15" s="7" t="n"/>
      <c r="L15" s="7" t="n"/>
    </row>
    <row r="16" ht="42" customHeight="1" s="42">
      <c r="A16" s="92" t="inlineStr">
        <is>
          <t>POS-PROD-STP</t>
        </is>
      </c>
      <c r="B16" s="93" t="inlineStr">
        <is>
          <t>冲床操作工</t>
        </is>
      </c>
      <c r="C16" s="93" t="inlineStr">
        <is>
          <t>ORG-PROD-WORK</t>
        </is>
      </c>
      <c r="D16" s="93" t="inlineStr">
        <is>
          <t>班组成员</t>
        </is>
      </c>
      <c r="E16" s="92" t="inlineStr">
        <is>
          <t>现行</t>
        </is>
      </c>
      <c r="F16" s="93" t="inlineStr">
        <is>
          <t>操作冲床设备，按工艺完成产品冲压生产设</t>
        </is>
      </c>
      <c r="G16" s="93" t="inlineStr">
        <is>
          <t>维修任务分派；模具故障统筹处理；班组人员排班；模具台账管理；班组安全5S；技术经验传递</t>
        </is>
      </c>
      <c r="H16" s="93" t="inlineStr">
        <is>
          <t>1、《冲压半成品/成品》；2、《设备点检记录》</t>
        </is>
      </c>
      <c r="I16" s="93" t="inlineStr">
        <is>
          <t>班组任务调度、模具维修方案建议权限</t>
        </is>
      </c>
      <c r="J16" s="93" t="inlineStr">
        <is>
          <t>模具维修技能、班组现场管理</t>
        </is>
      </c>
      <c r="K16" s="5" t="n"/>
      <c r="L16" s="5" t="n"/>
    </row>
    <row r="17" ht="42" customHeight="1" s="42">
      <c r="A17" s="92" t="inlineStr">
        <is>
          <t>POS-PROD-REP</t>
        </is>
      </c>
      <c r="B17" s="92" t="inlineStr">
        <is>
          <t>模具检修工</t>
        </is>
      </c>
      <c r="C17" s="93" t="inlineStr">
        <is>
          <t>ORG-PROD-MOLD</t>
        </is>
      </c>
      <c r="D17" s="92" t="inlineStr">
        <is>
          <t>班组成员</t>
        </is>
      </c>
      <c r="E17" s="92" t="inlineStr">
        <is>
          <t>现行</t>
        </is>
      </c>
      <c r="F17" s="92" t="inlineStr">
        <is>
          <t>模具维修、保养、简单改模，保障模具正常上机生产</t>
        </is>
      </c>
      <c r="G17" s="92" t="inlineStr">
        <is>
          <t>模具拆装；故障维修；日常保养；模具简单修模改模；模具状态记录；模具5S</t>
        </is>
      </c>
      <c r="H17" s="92" t="inlineStr">
        <is>
          <t>1、《维修完成模具》；2、《模具维修保养记录》</t>
        </is>
      </c>
      <c r="I17" s="92" t="inlineStr">
        <is>
          <t>模具拆装维修操作权限</t>
        </is>
      </c>
      <c r="J17" s="92" t="inlineStr">
        <is>
          <t>模具识图，模具故障判断，钳工基础</t>
        </is>
      </c>
      <c r="K17" s="7" t="n"/>
      <c r="L17" s="7" t="n"/>
    </row>
    <row r="18" ht="42" customHeight="1" s="42">
      <c r="A18" s="92" t="inlineStr">
        <is>
          <t>POS-PROD-SUP</t>
        </is>
      </c>
      <c r="B18" s="93" t="inlineStr">
        <is>
          <t>模具检修组长</t>
        </is>
      </c>
      <c r="C18" s="93" t="inlineStr">
        <is>
          <t>ORG-PROD-MOLD</t>
        </is>
      </c>
      <c r="D18" s="93" t="inlineStr">
        <is>
          <t>班组负责人</t>
        </is>
      </c>
      <c r="E18" s="92" t="inlineStr">
        <is>
          <t>现行</t>
        </is>
      </c>
      <c r="F18" s="93" t="inlineStr">
        <is>
          <t>模具维修组班组管理，统筹模具维修保养任务分配</t>
        </is>
      </c>
      <c r="G18" s="93" t="inlineStr">
        <is>
          <t>维修任务分派；模具故障统筹处理；班组人员排班；模具台账管理；班组安全5S；技术经验传递</t>
        </is>
      </c>
      <c r="H18" s="93" t="inlineStr">
        <is>
          <t>1、《模具维修计划》；2、《模具台账》；3、《班组巡检记录》</t>
        </is>
      </c>
      <c r="I18" s="93" t="inlineStr">
        <is>
          <t>班组任务调度、模具维修方案建议权限模</t>
        </is>
      </c>
      <c r="J18" s="93" t="inlineStr">
        <is>
          <t>具维修技能、班组现场管理</t>
        </is>
      </c>
      <c r="K18" s="5" t="n"/>
      <c r="L18" s="5" t="n"/>
    </row>
    <row r="19" ht="42" customHeight="1" s="42">
      <c r="A19" s="92" t="inlineStr">
        <is>
          <t>POS-QA-IPQC</t>
        </is>
      </c>
      <c r="B19" s="92" t="inlineStr">
        <is>
          <t>质检员</t>
        </is>
      </c>
      <c r="C19" s="93" t="inlineStr">
        <is>
          <t>ORG-QA-IPQC</t>
        </is>
      </c>
      <c r="D19" s="92" t="inlineStr">
        <is>
          <t>班组成员</t>
        </is>
      </c>
      <c r="E19" s="92" t="inlineStr">
        <is>
          <t>现行</t>
        </is>
      </c>
      <c r="F19" s="92" t="inlineStr">
        <is>
          <t>生产过程巡回质量检查，监督制程质量，及时反馈制程异常</t>
        </is>
      </c>
      <c r="G19" s="92" t="inlineStr">
        <is>
          <t>产线巡回抽检；核对工艺执行；制程不良发现反馈；首件复核；巡检记录；现场不良标识隔离</t>
        </is>
      </c>
      <c r="H19" s="92" t="inlineStr">
        <is>
          <t>1、《制程巡检记录》；2、《制程异常反馈单》</t>
        </is>
      </c>
      <c r="I19" s="92" t="inlineStr">
        <is>
          <t>制程质量监督、异常上报权限</t>
        </is>
      </c>
      <c r="J19" s="92" t="inlineStr">
        <is>
          <t>熟悉产品工艺，现场巡检，量具使用</t>
        </is>
      </c>
      <c r="K19" s="7" t="n"/>
      <c r="L19" s="7" t="n"/>
    </row>
    <row r="20" ht="42" customHeight="1" s="42">
      <c r="A20" s="92" t="inlineStr">
        <is>
          <t>POS-QA-OQC</t>
        </is>
      </c>
      <c r="B20" s="92" t="inlineStr">
        <is>
          <t>质检员</t>
        </is>
      </c>
      <c r="C20" s="93" t="inlineStr">
        <is>
          <t>ORG-QA-FG</t>
        </is>
      </c>
      <c r="D20" s="92" t="inlineStr">
        <is>
          <t>班组成员</t>
        </is>
      </c>
      <c r="E20" s="92" t="inlineStr">
        <is>
          <t>现行</t>
        </is>
      </c>
      <c r="F20" s="92" t="inlineStr">
        <is>
          <t>负责来料、最终成品检验</t>
        </is>
      </c>
      <c r="G20" s="92" t="inlineStr">
        <is>
          <t>来料检验、成品终检；填写检验记录；质量异常上报；不良标识隔离；量具日常点检</t>
        </is>
      </c>
      <c r="H20" s="92" t="inlineStr">
        <is>
          <t>1、《各类检验记录》；2、《不合格品标识记录》</t>
        </is>
      </c>
      <c r="I20" s="92" t="inlineStr">
        <is>
          <t>按授权执行检验、标识和反馈；放行权限按RACI</t>
        </is>
      </c>
      <c r="J20" s="92" t="inlineStr">
        <is>
          <t>会使用各类检验量具，识别不良品，填写质量记录</t>
        </is>
      </c>
      <c r="K20" s="7" t="n"/>
      <c r="L20" s="7" t="n"/>
    </row>
    <row r="21" ht="42" customHeight="1" s="42">
      <c r="A21" s="92" t="inlineStr">
        <is>
          <t>POS-QA-SUP</t>
        </is>
      </c>
      <c r="B21" s="93" t="inlineStr">
        <is>
          <t>品质组长</t>
        </is>
      </c>
      <c r="C21" s="93" t="inlineStr">
        <is>
          <t>ORG-QA-FG</t>
        </is>
      </c>
      <c r="D21" s="93" t="inlineStr">
        <is>
          <t>班组负责人</t>
        </is>
      </c>
      <c r="E21" s="92" t="inlineStr">
        <is>
          <t>现行</t>
        </is>
      </c>
      <c r="F21" s="93" t="inlineStr">
        <is>
          <t>成品出货检验组日常管理，检验任务分配，质量异常初步处置</t>
        </is>
      </c>
      <c r="G21" s="93" t="inlineStr">
        <is>
          <t>检验任务排班；检验工作督导；检验记录复核；现场质量问题初步协调；班组5S；人员实操带教</t>
        </is>
      </c>
      <c r="H21" s="93" t="inlineStr">
        <is>
          <t>1、《班组检验汇总记录》；2、《质量异常初步处置记录》</t>
        </is>
      </c>
      <c r="I21" s="93" t="inlineStr">
        <is>
          <t>检验任务分派、现场质量问题初步处置权限</t>
        </is>
      </c>
      <c r="J21" s="93" t="inlineStr">
        <is>
          <t>质量检验技能，班组现场管理</t>
        </is>
      </c>
      <c r="K21" s="5" t="n"/>
      <c r="L21" s="5" t="n"/>
    </row>
    <row r="22" ht="42" customHeight="1" s="42">
      <c r="A22" s="92" t="inlineStr">
        <is>
          <t>POS-PROD-WASH</t>
        </is>
      </c>
      <c r="B22" s="92" t="inlineStr">
        <is>
          <t>清洗工</t>
        </is>
      </c>
      <c r="C22" s="93" t="inlineStr">
        <is>
          <t>ORG-PROD-WASH</t>
        </is>
      </c>
      <c r="D22" s="92" t="inlineStr">
        <is>
          <t>班组成员</t>
        </is>
      </c>
      <c r="E22" s="92" t="inlineStr">
        <is>
          <t>现行</t>
        </is>
      </c>
      <c r="F22" s="92" t="inlineStr">
        <is>
          <t>按工艺完成产品清洗作业，做好清洗工位作业与自检</t>
        </is>
      </c>
      <c r="G22" s="92" t="inlineStr">
        <is>
          <t>清洗设备操作；产品装夹清洗；清洗后自检；设备日常清洁保养；工位5S；不良隔离</t>
        </is>
      </c>
      <c r="H22" s="92" t="inlineStr">
        <is>
          <t>1、《清洗后合格产品》；2、《设备点检记录》</t>
        </is>
      </c>
      <c r="I22" s="92" t="inlineStr">
        <is>
          <t>清洗设备操作权限</t>
        </is>
      </c>
      <c r="J22" s="92" t="inlineStr">
        <is>
          <t>看懂作业指导书，清洗设备操作，识别外观不良</t>
        </is>
      </c>
      <c r="K22" s="7" t="n"/>
      <c r="L22" s="7" t="n"/>
    </row>
    <row r="23" ht="42" customHeight="1" s="42">
      <c r="A23" s="92" t="inlineStr">
        <is>
          <t>POS-PROD-WASH-SUP</t>
        </is>
      </c>
      <c r="B23" s="93" t="inlineStr">
        <is>
          <t>清洗组长</t>
        </is>
      </c>
      <c r="C23" s="93" t="inlineStr">
        <is>
          <t>ORG-PROD-WASH</t>
        </is>
      </c>
      <c r="D23" s="93" t="inlineStr">
        <is>
          <t>班组负责人</t>
        </is>
      </c>
      <c r="E23" s="92" t="inlineStr">
        <is>
          <t>现行</t>
        </is>
      </c>
      <c r="F23" s="93" t="inlineStr">
        <is>
          <t>清洗车间班组管理，清洗任务统筹，人员排班</t>
        </is>
      </c>
      <c r="G23" s="93" t="inlineStr">
        <is>
          <t>清洗生产任务分派；人员排班；设备状态监控；班组5S安全；作业质量监督；异常协调</t>
        </is>
      </c>
      <c r="H23" s="93" t="inlineStr">
        <is>
          <t>1、《清洗作业计划》；2、《班组巡检记录》</t>
        </is>
      </c>
      <c r="I23" s="93" t="inlineStr">
        <is>
          <t>班组任务调度、现场异常协调权限</t>
        </is>
      </c>
      <c r="J23" s="93" t="inlineStr">
        <is>
          <t>产品清洗工艺、班组现场管理</t>
        </is>
      </c>
      <c r="K23" s="5" t="n"/>
      <c r="L23" s="5" t="n"/>
    </row>
    <row r="24" ht="42" customHeight="1" s="42">
      <c r="A24" s="92" t="inlineStr">
        <is>
          <t>POS-OPS-ORD</t>
        </is>
      </c>
      <c r="B24" s="92" t="inlineStr">
        <is>
          <t>跟单员</t>
        </is>
      </c>
      <c r="C24" s="93" t="inlineStr">
        <is>
          <t>ORG-OPS-BIZ</t>
        </is>
      </c>
      <c r="D24" s="92" t="inlineStr">
        <is>
          <t>班组成员</t>
        </is>
      </c>
      <c r="E24" s="92" t="inlineStr">
        <is>
          <t>现行</t>
        </is>
      </c>
      <c r="F24" s="92" t="inlineStr">
        <is>
          <t>订单全流程跟进，对接客户，跟进交期，信息同步客户内部</t>
        </is>
      </c>
      <c r="G24" s="92" t="inlineStr">
        <is>
          <t>订单录入；交期跟进；客户沟通；生产进度同步；出货跟进；客户信息记录；订单异常反馈</t>
        </is>
      </c>
      <c r="H24" s="92" t="inlineStr">
        <is>
          <t>1、《订单跟进台账》；2、《客户沟通记录》；3、《出货通知》</t>
        </is>
      </c>
      <c r="I24" s="92" t="inlineStr">
        <is>
          <t>订单进度跟踪、客户信息对接权限</t>
        </is>
      </c>
      <c r="J24" s="92" t="inlineStr">
        <is>
          <t>订单跟进，客户沟通，基础表单记录</t>
        </is>
      </c>
      <c r="K24" s="7" t="n"/>
      <c r="L24" s="7" t="n"/>
    </row>
    <row r="25" ht="42" customHeight="1" s="42">
      <c r="A25" s="93" t="inlineStr">
        <is>
          <t>POS--FIN-CASH</t>
        </is>
      </c>
      <c r="B25" s="93" t="inlineStr">
        <is>
          <t>出纳</t>
        </is>
      </c>
      <c r="C25" s="93" t="inlineStr">
        <is>
          <t>ORG-FIN-CASH</t>
        </is>
      </c>
      <c r="D25" s="93" t="inlineStr">
        <is>
          <t>班组成员</t>
        </is>
      </c>
      <c r="E25" s="92" t="inlineStr">
        <is>
          <t>现行</t>
        </is>
      </c>
      <c r="F25" s="93" t="inlineStr">
        <is>
          <t>公司现金、银行收付，资金台账，票据管理</t>
        </is>
      </c>
      <c r="G25" s="93" t="inlineStr">
        <is>
          <t>现金银行收付；银行对账；资金流水登记；票据保管；费用报销初审；配合会计账务处理</t>
        </is>
      </c>
      <c r="H25" s="93" t="inlineStr">
        <is>
          <t>1、《银行流水台账》；2、《现金日记账》；3、《票据保管台账》</t>
        </is>
      </c>
      <c r="I25" s="93" t="inlineStr">
        <is>
          <t>资金收付执行权限，无审批权</t>
        </is>
      </c>
      <c r="J25" s="93" t="inlineStr">
        <is>
          <t>现金银行业务，票据管理，基础财务规范</t>
        </is>
      </c>
      <c r="K25" s="5" t="n"/>
      <c r="L25" s="5" t="n"/>
    </row>
    <row r="26" ht="42" customHeight="1" s="42">
      <c r="A26" s="92" t="inlineStr">
        <is>
          <t>POS--FIN-ACC</t>
        </is>
      </c>
      <c r="B26" s="92" t="inlineStr">
        <is>
          <t>会计</t>
        </is>
      </c>
      <c r="C26" s="92" t="inlineStr">
        <is>
          <t>ORG-FIN-ACC</t>
        </is>
      </c>
      <c r="D26" s="92" t="inlineStr">
        <is>
          <t>班组成员</t>
        </is>
      </c>
      <c r="E26" s="92" t="inlineStr">
        <is>
          <t>现行</t>
        </is>
      </c>
      <c r="F26" s="92" t="inlineStr">
        <is>
          <t>账务处理、报税、成本核算、财务凭证报表编制</t>
        </is>
      </c>
      <c r="G26" s="92" t="inlineStr">
        <is>
          <t>凭证处理；全盘账务；税务申报；成本核算；编制财务报表；档案归档；出纳账务核对</t>
        </is>
      </c>
      <c r="H26" s="92" t="inlineStr">
        <is>
          <t>1、《会计凭证》；2、《财务报表》；3、《税务申报资料》；4、《财务档案账》</t>
        </is>
      </c>
      <c r="I26" s="92" t="inlineStr">
        <is>
          <t>务处理、报税操作权限</t>
        </is>
      </c>
      <c r="J26" s="92" t="inlineStr">
        <is>
          <t>全盘账务处理，税务申报，成本核算</t>
        </is>
      </c>
      <c r="K26" s="7" t="n"/>
      <c r="L26" s="7" t="n"/>
    </row>
    <row r="27" ht="42" customHeight="1" s="42">
      <c r="A27" s="93" t="inlineStr">
        <is>
          <t>POS--TECH-MGR</t>
        </is>
      </c>
      <c r="B27" s="93" t="inlineStr">
        <is>
          <t>模具技术负责人</t>
        </is>
      </c>
      <c r="C27" s="93" t="inlineStr">
        <is>
          <t>ORG-PROD-TECH</t>
        </is>
      </c>
      <c r="D27" s="93" t="inlineStr">
        <is>
          <t>班组负责人</t>
        </is>
      </c>
      <c r="E27" s="92" t="inlineStr">
        <is>
          <t>现行</t>
        </is>
      </c>
      <c r="F27" s="93" t="inlineStr">
        <is>
          <t>模具技术方案、新产品工艺、模具开发技术统筹管理</t>
        </is>
      </c>
      <c r="G27" s="93" t="inlineStr">
        <is>
          <t>新产品工艺评估；模具方案设计评审；模具技术问题攻关；工艺优化；技术文档编制；对接生产/模具维修组模具</t>
        </is>
      </c>
      <c r="H27" s="93" t="inlineStr">
        <is>
          <t>1、《技术方案》；2、《工艺文件》；3、《技术改善报告》</t>
        </is>
      </c>
      <c r="I27" s="93" t="inlineStr">
        <is>
          <t>技术方案评审、工艺变更建议权限</t>
        </is>
      </c>
      <c r="J27" s="93" t="inlineStr">
        <is>
          <t>模具设计、产品工艺、技术问题攻关</t>
        </is>
      </c>
      <c r="K27" s="5" t="n"/>
      <c r="L27" s="5" t="n"/>
    </row>
    <row r="28" ht="42" customHeight="1" s="42">
      <c r="A28" s="92" t="inlineStr">
        <is>
          <t>POS-ADM-HR</t>
        </is>
      </c>
      <c r="B28" s="92" t="inlineStr">
        <is>
          <t>人事员</t>
        </is>
      </c>
      <c r="C28" s="92" t="inlineStr">
        <is>
          <t>ORG-ADM-HR</t>
        </is>
      </c>
      <c r="D28" s="92" t="inlineStr">
        <is>
          <t>班组成员</t>
        </is>
      </c>
      <c r="E28" s="92" t="inlineStr">
        <is>
          <t>现行</t>
        </is>
      </c>
      <c r="F28" s="92" t="inlineStr">
        <is>
          <t>人事执行类工作，招聘、考勤、入离职、档案维护</t>
        </is>
      </c>
      <c r="G28" s="92" t="inlineStr">
        <is>
          <t>招聘渠道执行；入职离职手续办理；考勤统计；员工档案维护；社保办理；培训执行；人事表单维护</t>
        </is>
      </c>
      <c r="H28" s="92" t="inlineStr">
        <is>
          <t>1、《考勤表》；2、《员工人事档案》；3、《社保办理记录》；4、《招聘台账》</t>
        </is>
      </c>
      <c r="I28" s="92" t="inlineStr">
        <is>
          <t>人事事务执行权限，无高层人事审批权限人</t>
        </is>
      </c>
      <c r="J28" s="92" t="inlineStr">
        <is>
          <t>事基础业务，档案管理，社保经办</t>
        </is>
      </c>
      <c r="K28" s="7" t="n"/>
      <c r="L28" s="7" t="n"/>
    </row>
    <row r="29" ht="42" customHeight="1" s="42">
      <c r="A29" s="93" t="inlineStr">
        <is>
          <t>POS-OPS-PUR</t>
        </is>
      </c>
      <c r="B29" s="93" t="inlineStr">
        <is>
          <t>采购员</t>
        </is>
      </c>
      <c r="C29" s="93" t="inlineStr">
        <is>
          <t>ORG-OPS-PUR</t>
        </is>
      </c>
      <c r="D29" s="93" t="inlineStr">
        <is>
          <t>班组成员</t>
        </is>
      </c>
      <c r="E29" s="92" t="inlineStr">
        <is>
          <t>现行</t>
        </is>
      </c>
      <c r="F29" s="93" t="inlineStr">
        <is>
          <t>物料采购执行，供应商对接，交期跟进，采购单据处理</t>
        </is>
      </c>
      <c r="G29" s="93" t="inlineStr">
        <is>
          <t>物料需求接收；询比价；下达采购订单；跟进物料交期；供应商沟通；来料异常对接；采购台账登记</t>
        </is>
      </c>
      <c r="H29" s="93" t="inlineStr">
        <is>
          <t>1、《采购订单》；2、《询比价记录》；3、《采购跟进台账》</t>
        </is>
      </c>
      <c r="I29" s="93" t="inlineStr">
        <is>
          <t>采购执行下单权限，采购价格审批遵循RACI</t>
        </is>
      </c>
      <c r="J29" s="93" t="inlineStr">
        <is>
          <t>物料识别，询比价，供应商沟通，采购跟单补齐说明</t>
        </is>
      </c>
      <c r="K29" s="5" t="n"/>
      <c r="L29" s="5" t="n"/>
    </row>
    <row r="30" ht="42" customHeight="1" s="42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</row>
    <row r="31" ht="42" customHeight="1" s="42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</row>
    <row r="32" ht="42" customHeight="1" s="4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</row>
    <row r="33" ht="42" customHeight="1" s="42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</row>
    <row r="34" ht="42" customHeight="1" s="42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</row>
    <row r="35" ht="42" customHeight="1" s="42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</row>
    <row r="36" ht="42" customHeight="1" s="42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</row>
    <row r="37" ht="42" customHeight="1" s="42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</row>
    <row r="38" ht="42" customHeight="1" s="42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</row>
    <row r="39" ht="42" customHeight="1" s="42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</row>
    <row r="40" ht="42" customHeight="1" s="42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</row>
    <row r="41" ht="42" customHeight="1" s="42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</row>
    <row r="42" ht="42" customHeight="1" s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</row>
    <row r="43" ht="42" customHeight="1" s="42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</row>
    <row r="44" ht="42" customHeight="1" s="42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</row>
    <row r="45" ht="42" customHeight="1" s="42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</row>
    <row r="46" ht="42" customHeight="1" s="42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</row>
    <row r="47" ht="42" customHeight="1" s="42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</row>
    <row r="48" ht="42" customHeight="1" s="42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</row>
    <row r="49" ht="42" customHeight="1" s="42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</row>
    <row r="50" ht="42" customHeight="1" s="42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</row>
    <row r="51" ht="42" customHeight="1" s="42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</row>
    <row r="52" ht="42" customHeight="1" s="4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</row>
    <row r="53" ht="42" customHeight="1" s="42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</row>
    <row r="54" ht="42" customHeight="1" s="42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</row>
    <row r="55" ht="42" customHeight="1" s="42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</row>
    <row r="56" ht="42" customHeight="1" s="42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</row>
    <row r="57" ht="42" customHeight="1" s="42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</row>
    <row r="58" ht="42" customHeight="1" s="42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</row>
    <row r="59" ht="42" customHeight="1" s="42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</row>
    <row r="60" ht="42" customHeight="1" s="42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</row>
    <row r="61" ht="42" customHeight="1" s="42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</row>
    <row r="62" ht="42" customHeight="1" s="4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</row>
    <row r="63" ht="42" customHeight="1" s="42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</row>
    <row r="64" ht="42" customHeight="1" s="42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</row>
    <row r="65" ht="42" customHeight="1" s="42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</row>
    <row r="66" ht="42" customHeight="1" s="42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</row>
    <row r="67" ht="42" customHeight="1" s="42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</row>
    <row r="68" ht="42" customHeight="1" s="42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</row>
    <row r="69" ht="42" customHeight="1" s="42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</row>
    <row r="70" ht="42" customHeight="1" s="42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</row>
    <row r="71" ht="42" customHeight="1" s="42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</row>
    <row r="72" ht="42" customHeight="1" s="4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</row>
    <row r="73" ht="42" customHeight="1" s="42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</row>
    <row r="74" ht="42" customHeight="1" s="42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</row>
    <row r="75" ht="42" customHeight="1" s="42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</row>
    <row r="76" ht="42" customHeight="1" s="42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</row>
    <row r="77" ht="42" customHeight="1" s="42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</row>
    <row r="78" ht="42" customHeight="1" s="42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</row>
    <row r="79" ht="42" customHeight="1" s="42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</row>
    <row r="80" ht="42" customHeight="1" s="42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</row>
  </sheetData>
  <autoFilter ref="A4:L80"/>
  <mergeCells count="2">
    <mergeCell ref="A2:L2"/>
    <mergeCell ref="A1:L1"/>
  </mergeCells>
  <dataValidations count="4">
    <dataValidation sqref="B5:B80" showDropDown="0" showInputMessage="0" showErrorMessage="0" allowBlank="1" errorTitle="选项无效" error="请从下拉选项中选择。" promptTitle="填写提示" prompt="请选择标准值。" type="list">
      <formula1>Opt_岗位名称</formula1>
    </dataValidation>
    <dataValidation sqref="C5:C80" showDropDown="0" showInputMessage="0" showErrorMessage="0" allowBlank="1" errorTitle="选项无效" error="请从下拉选项中选择。" promptTitle="填写提示" prompt="请选择标准值。" type="list">
      <formula1>Opt_组织单元</formula1>
    </dataValidation>
    <dataValidation sqref="D5:D80" showDropDown="0" showInputMessage="0" showErrorMessage="0" allowBlank="1" errorTitle="填写值无效" error="请从下拉列表中选择标准值。" promptTitle="填写提示" prompt="请选择标准值。" type="list">
      <formula1>"公司负责人,部门负责人,班组长,专业岗位,操作岗位,辅助岗位,其他"</formula1>
    </dataValidation>
    <dataValidation sqref="E5:E80" showDropDown="0" showInputMessage="0" showErrorMessage="0" allowBlank="1" errorTitle="填写值无效" error="请从下拉列表中选择标准值。" promptTitle="填写提示" prompt="请选择标准值。" type="list">
      <formula1>"现行,筹备,规划,停用,待确认"</formula1>
    </dataValidation>
  </dataValidations>
  <pageMargins left="0.25" right="0.25" top="0.45" bottom="0.45" header="0.5" footer="0.5"/>
  <pageSetup orientation="landscape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Y86"/>
  <sheetViews>
    <sheetView showGridLines="0" zoomScale="70" zoomScaleNormal="70" workbookViewId="0">
      <pane xSplit="6" ySplit="4" topLeftCell="G14" activePane="bottomRight" state="frozen"/>
      <selection pane="topRight" activeCell="A1" sqref="A1"/>
      <selection pane="bottomLeft" activeCell="A1" sqref="A1"/>
      <selection pane="bottomRight" activeCell="E15" sqref="E15"/>
    </sheetView>
  </sheetViews>
  <sheetFormatPr baseColWidth="8" defaultColWidth="9" defaultRowHeight="14.4"/>
  <cols>
    <col width="12" customWidth="1" style="43" min="1" max="1"/>
    <col width="16" customWidth="1" style="43" min="2" max="2"/>
    <col width="22" customWidth="1" style="43" min="3" max="3"/>
    <col width="32" customWidth="1" style="43" min="4" max="4"/>
    <col width="24" customWidth="1" style="43" min="5" max="5"/>
    <col width="20" customWidth="1" style="43" min="6" max="6"/>
    <col width="13" customWidth="1" style="43" min="7" max="19"/>
    <col width="10" customWidth="1" style="43" min="20" max="21"/>
    <col width="14" customWidth="1" style="43" min="22" max="23"/>
    <col width="13" customWidth="1" style="43" min="24" max="24"/>
    <col width="28" customWidth="1" style="68" min="25" max="25"/>
    <col width="9" customWidth="1" style="43" min="26" max="26"/>
    <col width="9" customWidth="1" style="43" min="27" max="16384"/>
  </cols>
  <sheetData>
    <row r="1" ht="30" customHeight="1" s="42">
      <c r="A1" s="97" t="inlineStr">
        <is>
          <t>04｜RACI职责矩阵</t>
        </is>
      </c>
    </row>
    <row r="2" ht="24" customHeight="1" s="42">
      <c r="A2" s="67" t="inlineStr">
        <is>
          <t>R=执行，A=最终负责/批准，C=事前咨询，I=结果知会，—=不参与。每行只能有一个A，至少一个R；角色名先在表头改成真实岗位/部门。</t>
        </is>
      </c>
    </row>
    <row r="3" ht="8" customHeight="1" s="42"/>
    <row r="4" ht="30" customHeight="1" s="42">
      <c r="A4" s="51" t="inlineStr">
        <is>
          <t>事项ID*</t>
        </is>
      </c>
      <c r="B4" s="51" t="inlineStr">
        <is>
          <t>管理域</t>
        </is>
      </c>
      <c r="C4" s="51" t="inlineStr">
        <is>
          <t>流程/场景</t>
        </is>
      </c>
      <c r="D4" s="51" t="inlineStr">
        <is>
          <t>具体事项*</t>
        </is>
      </c>
      <c r="E4" s="51" t="inlineStr">
        <is>
          <t>关键输出物</t>
        </is>
      </c>
      <c r="F4" s="51" t="inlineStr">
        <is>
          <t>触发条件/频次</t>
        </is>
      </c>
      <c r="G4" s="51" t="inlineStr">
        <is>
          <t>董事长</t>
        </is>
      </c>
      <c r="H4" s="51" t="inlineStr">
        <is>
          <t>总经理</t>
        </is>
      </c>
      <c r="I4" s="51" t="inlineStr">
        <is>
          <t>生产部</t>
        </is>
      </c>
      <c r="J4" s="51" t="inlineStr">
        <is>
          <t>品质部</t>
        </is>
      </c>
      <c r="K4" s="51" t="inlineStr">
        <is>
          <t>运营部</t>
        </is>
      </c>
      <c r="L4" s="51" t="inlineStr">
        <is>
          <t>行政部</t>
        </is>
      </c>
      <c r="M4" s="51" t="inlineStr">
        <is>
          <t>财务部</t>
        </is>
      </c>
      <c r="N4" s="51" t="inlineStr">
        <is>
          <t>工程技术组</t>
        </is>
      </c>
      <c r="O4" s="51" t="inlineStr">
        <is>
          <t>生产车间</t>
        </is>
      </c>
      <c r="P4" s="51" t="inlineStr">
        <is>
          <t>模具维修组</t>
        </is>
      </c>
      <c r="Q4" s="51" t="inlineStr">
        <is>
          <t>清洗车间</t>
        </is>
      </c>
      <c r="R4" s="51" t="inlineStr">
        <is>
          <t>成品出货检验组</t>
        </is>
      </c>
      <c r="S4" s="51" t="inlineStr">
        <is>
          <t>业务组/采购组/仓储组</t>
        </is>
      </c>
      <c r="T4" s="51" t="inlineStr">
        <is>
          <t>A数量</t>
        </is>
      </c>
      <c r="U4" s="51" t="inlineStr">
        <is>
          <t>R数量</t>
        </is>
      </c>
      <c r="V4" s="51" t="inlineStr">
        <is>
          <t>检查结果</t>
        </is>
      </c>
      <c r="W4" s="51" t="inlineStr">
        <is>
          <t>确认人</t>
        </is>
      </c>
      <c r="X4" s="51" t="inlineStr">
        <is>
          <t>确认日期</t>
        </is>
      </c>
      <c r="Y4" s="11" t="inlineStr">
        <is>
          <t>备注</t>
        </is>
      </c>
    </row>
    <row r="5" ht="42" customHeight="1" s="42">
      <c r="A5" s="98" t="inlineStr">
        <is>
          <t>RACI-001</t>
        </is>
      </c>
      <c r="B5" s="98" t="inlineStr">
        <is>
          <t>组织管理</t>
        </is>
      </c>
      <c r="C5" s="98" t="inlineStr">
        <is>
          <t>公司组织架构</t>
        </is>
      </c>
      <c r="D5" s="98" t="inlineStr">
        <is>
          <t>确认部门、岗位和汇报关系</t>
        </is>
      </c>
      <c r="E5" s="98" t="inlineStr">
        <is>
          <t>1、《组织架构确认版》</t>
        </is>
      </c>
      <c r="F5" s="98" t="inlineStr">
        <is>
          <t>组织架构调整时</t>
        </is>
      </c>
      <c r="G5" s="98" t="inlineStr">
        <is>
          <t>A</t>
        </is>
      </c>
      <c r="H5" s="98" t="inlineStr">
        <is>
          <t>R</t>
        </is>
      </c>
      <c r="I5" s="98" t="inlineStr">
        <is>
          <t>I</t>
        </is>
      </c>
      <c r="J5" s="98" t="inlineStr">
        <is>
          <t>I</t>
        </is>
      </c>
      <c r="K5" s="98" t="inlineStr">
        <is>
          <t>I</t>
        </is>
      </c>
      <c r="L5" s="98" t="inlineStr">
        <is>
          <t>I</t>
        </is>
      </c>
      <c r="M5" s="98" t="inlineStr">
        <is>
          <t>I</t>
        </is>
      </c>
      <c r="N5" s="98" t="inlineStr">
        <is>
          <t>I</t>
        </is>
      </c>
      <c r="O5" s="98" t="inlineStr">
        <is>
          <t>I</t>
        </is>
      </c>
      <c r="P5" s="98" t="inlineStr">
        <is>
          <t>I</t>
        </is>
      </c>
      <c r="Q5" s="98" t="inlineStr">
        <is>
          <t>I</t>
        </is>
      </c>
      <c r="R5" s="98" t="inlineStr">
        <is>
          <t>I</t>
        </is>
      </c>
      <c r="S5" s="98" t="inlineStr">
        <is>
          <t>I</t>
        </is>
      </c>
      <c r="T5" s="99">
        <f>COUNTIF(G5:S5,"A")</f>
        <v/>
      </c>
      <c r="U5" s="99">
        <f>COUNTIF(G5:S5,"R")</f>
        <v/>
      </c>
      <c r="V5" s="99">
        <f>IF(A5="","",IF(T5&lt;&gt;1,"A数量必须=1",IF(U5&lt;1,"至少需要1个R","OK")))</f>
        <v/>
      </c>
      <c r="W5" s="98" t="inlineStr">
        <is>
          <t>王勇</t>
        </is>
      </c>
      <c r="X5" s="100" t="inlineStr">
        <is>
          <t>2026.10.4</t>
        </is>
      </c>
      <c r="Y5" s="101" t="inlineStr">
        <is>
          <t>董事长承担，总经理执行入</t>
        </is>
      </c>
    </row>
    <row r="6" ht="42" customHeight="1" s="42">
      <c r="A6" s="98" t="inlineStr">
        <is>
          <t>RACI-002</t>
        </is>
      </c>
      <c r="B6" s="102" t="inlineStr">
        <is>
          <t>经营管理</t>
        </is>
      </c>
      <c r="C6" s="102" t="inlineStr">
        <is>
          <t>年度经营目标</t>
        </is>
      </c>
      <c r="D6" s="102" t="inlineStr">
        <is>
          <t>确认年度经营目标和重点事项</t>
        </is>
      </c>
      <c r="E6" s="102" t="inlineStr">
        <is>
          <t>1、《年度经营目标表》</t>
        </is>
      </c>
      <c r="F6" s="102" t="inlineStr">
        <is>
          <t>年度/重大调整</t>
        </is>
      </c>
      <c r="G6" s="102" t="inlineStr">
        <is>
          <t>I</t>
        </is>
      </c>
      <c r="H6" s="102" t="inlineStr">
        <is>
          <t>A</t>
        </is>
      </c>
      <c r="I6" s="102" t="inlineStr">
        <is>
          <t>R</t>
        </is>
      </c>
      <c r="J6" s="102" t="inlineStr">
        <is>
          <t>R</t>
        </is>
      </c>
      <c r="K6" s="102" t="inlineStr">
        <is>
          <t>R</t>
        </is>
      </c>
      <c r="L6" s="102" t="inlineStr">
        <is>
          <t>R</t>
        </is>
      </c>
      <c r="M6" s="102" t="inlineStr">
        <is>
          <t>R</t>
        </is>
      </c>
      <c r="N6" s="102" t="inlineStr">
        <is>
          <t>R</t>
        </is>
      </c>
      <c r="O6" s="102" t="inlineStr">
        <is>
          <t>R</t>
        </is>
      </c>
      <c r="P6" s="102" t="inlineStr">
        <is>
          <t>R</t>
        </is>
      </c>
      <c r="Q6" s="102" t="inlineStr">
        <is>
          <t>R</t>
        </is>
      </c>
      <c r="R6" s="102" t="inlineStr">
        <is>
          <t>R</t>
        </is>
      </c>
      <c r="S6" s="102" t="inlineStr">
        <is>
          <t>R</t>
        </is>
      </c>
      <c r="T6" s="103">
        <f>COUNTIF(G6:S6,"A")</f>
        <v/>
      </c>
      <c r="U6" s="103">
        <f>COUNTIF(G6:S6,"R")</f>
        <v/>
      </c>
      <c r="V6" s="103">
        <f>IF(A6="","",IF(T6&lt;&gt;1,"A数量必须=1",IF(U6&lt;1,"至少需要1个R","OK")))</f>
        <v/>
      </c>
      <c r="W6" s="102" t="inlineStr">
        <is>
          <t>王晓华</t>
        </is>
      </c>
      <c r="X6" s="100" t="inlineStr">
        <is>
          <t>2026.10.4</t>
        </is>
      </c>
      <c r="Y6" s="104" t="inlineStr">
        <is>
          <t>总经理承担，各部门承接分解目标</t>
        </is>
      </c>
    </row>
    <row r="7" ht="42" customHeight="1" s="42">
      <c r="A7" s="98" t="inlineStr">
        <is>
          <t>RACI-003</t>
        </is>
      </c>
      <c r="B7" s="98" t="inlineStr">
        <is>
          <t>客户/订单</t>
        </is>
      </c>
      <c r="C7" s="98" t="inlineStr">
        <is>
          <t>订单接收与评审</t>
        </is>
      </c>
      <c r="D7" s="98" t="inlineStr">
        <is>
          <t>确认客户订单、图纸、交期和生产可行性</t>
        </is>
      </c>
      <c r="E7" s="98" t="inlineStr">
        <is>
          <t>1、《订单评审记录》</t>
        </is>
      </c>
      <c r="F7" s="98" t="inlineStr">
        <is>
          <t>收到新订单时</t>
        </is>
      </c>
      <c r="G7" s="98" t="inlineStr">
        <is>
          <t>—</t>
        </is>
      </c>
      <c r="H7" s="98" t="inlineStr">
        <is>
          <t>I</t>
        </is>
      </c>
      <c r="I7" s="98" t="inlineStr">
        <is>
          <t>R</t>
        </is>
      </c>
      <c r="J7" s="98" t="inlineStr">
        <is>
          <t>R</t>
        </is>
      </c>
      <c r="K7" s="98" t="inlineStr">
        <is>
          <t>A</t>
        </is>
      </c>
      <c r="L7" s="98" t="inlineStr">
        <is>
          <t>—</t>
        </is>
      </c>
      <c r="M7" s="98" t="inlineStr">
        <is>
          <t>I</t>
        </is>
      </c>
      <c r="N7" s="98" t="inlineStr">
        <is>
          <t>R</t>
        </is>
      </c>
      <c r="O7" s="98" t="inlineStr">
        <is>
          <t>C</t>
        </is>
      </c>
      <c r="P7" s="98" t="inlineStr">
        <is>
          <t>C</t>
        </is>
      </c>
      <c r="Q7" s="98" t="inlineStr">
        <is>
          <t>C</t>
        </is>
      </c>
      <c r="R7" s="98" t="inlineStr">
        <is>
          <t>C</t>
        </is>
      </c>
      <c r="S7" s="98" t="inlineStr">
        <is>
          <t>R</t>
        </is>
      </c>
      <c r="T7" s="99">
        <f>COUNTIF(G7:S7,"A")</f>
        <v/>
      </c>
      <c r="U7" s="99">
        <f>COUNTIF(G7:S7,"R")</f>
        <v/>
      </c>
      <c r="V7" s="99">
        <f>IF(A7="","",IF(T7&lt;&gt;1,"A数量必须=1",IF(U7&lt;1,"至少需要1个R","OK")))</f>
        <v/>
      </c>
      <c r="W7" s="98" t="inlineStr">
        <is>
          <t>王秋红</t>
        </is>
      </c>
      <c r="X7" s="100" t="inlineStr">
        <is>
          <t>2026.10.4</t>
        </is>
      </c>
      <c r="Y7" s="101" t="inlineStr">
        <is>
          <t>运营部承担：生产、品质、技术、业务组、采购组、仓储组执行</t>
        </is>
      </c>
    </row>
    <row r="8" ht="42" customHeight="1" s="42">
      <c r="A8" s="98" t="inlineStr">
        <is>
          <t>RACI-004</t>
        </is>
      </c>
      <c r="B8" s="102" t="inlineStr">
        <is>
          <t>生产</t>
        </is>
      </c>
      <c r="C8" s="102" t="inlineStr">
        <is>
          <t>生产任务下达</t>
        </is>
      </c>
      <c r="D8" s="102" t="inlineStr">
        <is>
          <t>确认生产产品、材料、模具、设备和交期</t>
        </is>
      </c>
      <c r="E8" s="102" t="inlineStr">
        <is>
          <t>1、《生产任务确认单》</t>
        </is>
      </c>
      <c r="F8" s="102" t="inlineStr">
        <is>
          <t>开工前</t>
        </is>
      </c>
      <c r="G8" s="102" t="inlineStr">
        <is>
          <t>—</t>
        </is>
      </c>
      <c r="H8" s="102" t="inlineStr">
        <is>
          <t>—</t>
        </is>
      </c>
      <c r="I8" s="102" t="inlineStr">
        <is>
          <t>A</t>
        </is>
      </c>
      <c r="J8" s="102" t="inlineStr">
        <is>
          <t>—</t>
        </is>
      </c>
      <c r="K8" s="102" t="inlineStr">
        <is>
          <t>—</t>
        </is>
      </c>
      <c r="L8" s="102" t="inlineStr">
        <is>
          <t>—</t>
        </is>
      </c>
      <c r="M8" s="102" t="inlineStr">
        <is>
          <t>—</t>
        </is>
      </c>
      <c r="N8" s="102" t="inlineStr">
        <is>
          <t>C</t>
        </is>
      </c>
      <c r="O8" s="102" t="inlineStr">
        <is>
          <t>R</t>
        </is>
      </c>
      <c r="P8" s="102" t="inlineStr">
        <is>
          <t>R</t>
        </is>
      </c>
      <c r="Q8" s="102" t="inlineStr">
        <is>
          <t>R</t>
        </is>
      </c>
      <c r="R8" s="102" t="inlineStr">
        <is>
          <t>R</t>
        </is>
      </c>
      <c r="S8" s="102" t="inlineStr">
        <is>
          <t>C</t>
        </is>
      </c>
      <c r="T8" s="103">
        <f>COUNTIF(G8:S8,"A")</f>
        <v/>
      </c>
      <c r="U8" s="103">
        <f>COUNTIF(G8:S8,"R")</f>
        <v/>
      </c>
      <c r="V8" s="103">
        <f>IF(A8="","",IF(T8&lt;&gt;1,"A数量必须=1",IF(U8&lt;1,"至少需要1个R","OK")))</f>
        <v/>
      </c>
      <c r="W8" s="102" t="inlineStr">
        <is>
          <t>王小平</t>
        </is>
      </c>
      <c r="X8" s="100" t="inlineStr">
        <is>
          <t>2026.10.4</t>
        </is>
      </c>
      <c r="Y8" s="104" t="inlineStr">
        <is>
          <t>生产部承担，生产/模具/清洗车间执行：</t>
        </is>
      </c>
    </row>
    <row r="9" ht="42" customHeight="1" s="42">
      <c r="A9" s="98" t="inlineStr">
        <is>
          <t>RACI-005</t>
        </is>
      </c>
      <c r="B9" s="98" t="inlineStr">
        <is>
          <t>质量</t>
        </is>
      </c>
      <c r="C9" s="98" t="inlineStr">
        <is>
          <t>首件与异常放行</t>
        </is>
      </c>
      <c r="D9" s="98" t="inlineStr">
        <is>
          <t>确认首件、异常隔离和恢复生产权限</t>
        </is>
      </c>
      <c r="E9" s="98" t="inlineStr">
        <is>
          <t>1、《首件/异常记录》</t>
        </is>
      </c>
      <c r="F9" s="98" t="inlineStr">
        <is>
          <t>首件或异常发生时</t>
        </is>
      </c>
      <c r="G9" s="98" t="inlineStr">
        <is>
          <t>—</t>
        </is>
      </c>
      <c r="H9" s="98" t="inlineStr">
        <is>
          <t>—</t>
        </is>
      </c>
      <c r="I9" s="98" t="inlineStr">
        <is>
          <t>—</t>
        </is>
      </c>
      <c r="J9" s="98" t="inlineStr">
        <is>
          <t>A</t>
        </is>
      </c>
      <c r="K9" s="98" t="inlineStr">
        <is>
          <t>—</t>
        </is>
      </c>
      <c r="L9" s="98" t="inlineStr">
        <is>
          <t>—</t>
        </is>
      </c>
      <c r="M9" s="98" t="inlineStr">
        <is>
          <t>—</t>
        </is>
      </c>
      <c r="N9" s="98" t="inlineStr">
        <is>
          <t>C</t>
        </is>
      </c>
      <c r="O9" s="98" t="inlineStr">
        <is>
          <t>R</t>
        </is>
      </c>
      <c r="P9" s="98" t="inlineStr">
        <is>
          <t>R</t>
        </is>
      </c>
      <c r="Q9" s="98" t="inlineStr">
        <is>
          <t>R</t>
        </is>
      </c>
      <c r="R9" s="98" t="inlineStr">
        <is>
          <t>R</t>
        </is>
      </c>
      <c r="S9" s="98" t="inlineStr">
        <is>
          <t>I</t>
        </is>
      </c>
      <c r="T9" s="99">
        <f>COUNTIF(G9:S9,"A")</f>
        <v/>
      </c>
      <c r="U9" s="99">
        <f>COUNTIF(G9:S9,"R")</f>
        <v/>
      </c>
      <c r="V9" s="99">
        <f>IF(A9="","",IF(T9&lt;&gt;1,"A数量必须=1",IF(U9&lt;1,"至少需要1个R","OK")))</f>
        <v/>
      </c>
      <c r="W9" s="98" t="inlineStr">
        <is>
          <t>李天友</t>
        </is>
      </c>
      <c r="X9" s="100" t="inlineStr">
        <is>
          <t>2026.10.4</t>
        </is>
      </c>
      <c r="Y9" s="101" t="inlineStr">
        <is>
          <t>品质部承担，各生产车间、成品出货检验组执行</t>
        </is>
      </c>
    </row>
    <row r="10" ht="42" customHeight="1" s="42">
      <c r="A10" s="98" t="inlineStr">
        <is>
          <t>RACI-006</t>
        </is>
      </c>
      <c r="B10" s="98" t="inlineStr">
        <is>
          <t>质量</t>
        </is>
      </c>
      <c r="C10" s="98" t="inlineStr">
        <is>
          <t>来料检验IQC</t>
        </is>
      </c>
      <c r="D10" s="98" t="inlineStr">
        <is>
          <t>供应商来料检验，判定来料合格/不合格</t>
        </is>
      </c>
      <c r="E10" s="98" t="inlineStr">
        <is>
          <t>1、《来料检验报告》；2、《来料异常单》</t>
        </is>
      </c>
      <c r="F10" s="98" t="inlineStr">
        <is>
          <t>物料到货时</t>
        </is>
      </c>
      <c r="G10" s="102" t="inlineStr">
        <is>
          <t>—</t>
        </is>
      </c>
      <c r="H10" s="102" t="inlineStr">
        <is>
          <t>—</t>
        </is>
      </c>
      <c r="I10" s="98" t="inlineStr">
        <is>
          <t>I</t>
        </is>
      </c>
      <c r="J10" s="98" t="inlineStr">
        <is>
          <t>A</t>
        </is>
      </c>
      <c r="K10" s="98" t="inlineStr">
        <is>
          <t>C</t>
        </is>
      </c>
      <c r="L10" s="98" t="inlineStr">
        <is>
          <t>—</t>
        </is>
      </c>
      <c r="M10" s="98" t="inlineStr">
        <is>
          <t>—</t>
        </is>
      </c>
      <c r="N10" s="98" t="inlineStr">
        <is>
          <t>—</t>
        </is>
      </c>
      <c r="O10" s="98" t="inlineStr">
        <is>
          <t>—</t>
        </is>
      </c>
      <c r="P10" s="98" t="inlineStr">
        <is>
          <t>—</t>
        </is>
      </c>
      <c r="Q10" s="98" t="inlineStr">
        <is>
          <t>—</t>
        </is>
      </c>
      <c r="R10" s="98" t="inlineStr">
        <is>
          <t>R</t>
        </is>
      </c>
      <c r="S10" s="98" t="inlineStr">
        <is>
          <t>C</t>
        </is>
      </c>
      <c r="T10" s="99">
        <f>COUNTIF(G10:S10,"A")</f>
        <v/>
      </c>
      <c r="U10" s="99">
        <f>COUNTIF(G10:S10,"R")</f>
        <v/>
      </c>
      <c r="V10" s="99">
        <f>IF(A10="","",IF(T10&lt;&gt;1,"A数量必须=1",IF(U10&lt;1,"至少需要1个R","OK")))</f>
        <v/>
      </c>
      <c r="W10" s="98" t="inlineStr">
        <is>
          <t>李天友</t>
        </is>
      </c>
      <c r="X10" s="100" t="inlineStr">
        <is>
          <t>2026.10.4</t>
        </is>
      </c>
      <c r="Y10" s="101" t="inlineStr">
        <is>
          <t>品质部承担，成品出货检验组执行</t>
        </is>
      </c>
    </row>
    <row r="11" ht="42" customHeight="1" s="42">
      <c r="A11" s="98" t="inlineStr">
        <is>
          <t>RACI-007</t>
        </is>
      </c>
      <c r="B11" s="102" t="inlineStr">
        <is>
          <t>质量</t>
        </is>
      </c>
      <c r="C11" s="102" t="inlineStr">
        <is>
          <t>客户投诉闭环处理</t>
        </is>
      </c>
      <c r="D11" s="102" t="inlineStr">
        <is>
          <t>客户质量投诉接收、调查、制定改善措施并闭环</t>
        </is>
      </c>
      <c r="E11" s="102" t="inlineStr">
        <is>
          <t>1、《客诉处理报告》；2、《改善记录》</t>
        </is>
      </c>
      <c r="F11" s="102" t="inlineStr">
        <is>
          <t>客户反馈质量问题时</t>
        </is>
      </c>
      <c r="G11" s="102" t="inlineStr">
        <is>
          <t>—</t>
        </is>
      </c>
      <c r="H11" s="102" t="inlineStr">
        <is>
          <t>I</t>
        </is>
      </c>
      <c r="I11" s="102" t="inlineStr">
        <is>
          <t>C</t>
        </is>
      </c>
      <c r="J11" s="102" t="inlineStr">
        <is>
          <t>A</t>
        </is>
      </c>
      <c r="K11" s="102" t="inlineStr">
        <is>
          <t>R</t>
        </is>
      </c>
      <c r="L11" s="102" t="inlineStr">
        <is>
          <t>—</t>
        </is>
      </c>
      <c r="M11" s="102" t="inlineStr">
        <is>
          <t>—</t>
        </is>
      </c>
      <c r="N11" s="102" t="inlineStr">
        <is>
          <t>C</t>
        </is>
      </c>
      <c r="O11" s="102" t="inlineStr">
        <is>
          <t>C</t>
        </is>
      </c>
      <c r="P11" s="102" t="inlineStr">
        <is>
          <t>C</t>
        </is>
      </c>
      <c r="Q11" s="102" t="inlineStr">
        <is>
          <t>C</t>
        </is>
      </c>
      <c r="R11" s="102" t="inlineStr">
        <is>
          <t>R</t>
        </is>
      </c>
      <c r="S11" s="102" t="inlineStr">
        <is>
          <t>C</t>
        </is>
      </c>
      <c r="T11" s="103">
        <f>COUNTIF(G11:S11,"A")</f>
        <v/>
      </c>
      <c r="U11" s="103">
        <f>COUNTIF(G11:S11,"R")</f>
        <v/>
      </c>
      <c r="V11" s="103">
        <f>IF(A11="","",IF(T11&lt;&gt;1,"A数量必须=1",IF(U11&lt;1,"至少需要1个R","OK")))</f>
        <v/>
      </c>
      <c r="W11" s="98" t="inlineStr">
        <is>
          <t>李天友</t>
        </is>
      </c>
      <c r="X11" s="100" t="inlineStr">
        <is>
          <t>2026.10.4</t>
        </is>
      </c>
      <c r="Y11" s="104" t="inlineStr">
        <is>
          <t>品质部承担，业务对接客户，多车间参与调查</t>
        </is>
      </c>
    </row>
    <row r="12" ht="42" customHeight="1" s="42">
      <c r="A12" s="98" t="inlineStr">
        <is>
          <t>RACI-008</t>
        </is>
      </c>
      <c r="B12" s="102" t="inlineStr">
        <is>
          <t>财务</t>
        </is>
      </c>
      <c r="C12" s="102" t="inlineStr">
        <is>
          <t>付款与费用审批</t>
        </is>
      </c>
      <c r="D12" s="102" t="inlineStr">
        <is>
          <t>确认付款、报销和资金审批边界</t>
        </is>
      </c>
      <c r="E12" s="102" t="inlineStr">
        <is>
          <t>1、《付款/费用审批记录》</t>
        </is>
      </c>
      <c r="F12" s="102" t="inlineStr">
        <is>
          <t>发生费用或付款时</t>
        </is>
      </c>
      <c r="G12" s="102" t="inlineStr">
        <is>
          <t>A</t>
        </is>
      </c>
      <c r="H12" s="102" t="inlineStr">
        <is>
          <t>C</t>
        </is>
      </c>
      <c r="I12" s="102" t="inlineStr">
        <is>
          <t>C</t>
        </is>
      </c>
      <c r="J12" s="102" t="inlineStr">
        <is>
          <t>C</t>
        </is>
      </c>
      <c r="K12" s="102" t="inlineStr">
        <is>
          <t>C</t>
        </is>
      </c>
      <c r="L12" s="102" t="inlineStr">
        <is>
          <t>I</t>
        </is>
      </c>
      <c r="M12" s="102" t="inlineStr">
        <is>
          <t>R</t>
        </is>
      </c>
      <c r="N12" s="102" t="inlineStr">
        <is>
          <t>C</t>
        </is>
      </c>
      <c r="O12" s="102" t="inlineStr">
        <is>
          <t>—</t>
        </is>
      </c>
      <c r="P12" s="102" t="inlineStr">
        <is>
          <t>—</t>
        </is>
      </c>
      <c r="Q12" s="102" t="inlineStr">
        <is>
          <t>—</t>
        </is>
      </c>
      <c r="R12" s="102" t="inlineStr">
        <is>
          <t>—</t>
        </is>
      </c>
      <c r="S12" s="102" t="inlineStr">
        <is>
          <t>C</t>
        </is>
      </c>
      <c r="T12" s="103">
        <f>COUNTIF(G12:S12,"A")</f>
        <v/>
      </c>
      <c r="U12" s="103">
        <f>COUNTIF(G12:S12,"R")</f>
        <v/>
      </c>
      <c r="V12" s="103">
        <f>IF(A12="","",IF(T12&lt;&gt;1,"A数量必须=1",IF(U12&lt;1,"至少需要1个R","OK")))</f>
        <v/>
      </c>
      <c r="W12" s="102" t="inlineStr">
        <is>
          <t>王勇</t>
        </is>
      </c>
      <c r="X12" s="100" t="inlineStr">
        <is>
          <t>2026.10.4</t>
        </is>
      </c>
      <c r="Y12" s="104" t="inlineStr">
        <is>
          <t>董事长承担，财务部，各部门提供业务咨询</t>
        </is>
      </c>
    </row>
    <row r="13" ht="42" customHeight="1" s="42">
      <c r="A13" s="98" t="inlineStr">
        <is>
          <t>RACI-009</t>
        </is>
      </c>
      <c r="B13" s="102" t="inlineStr">
        <is>
          <t>财务</t>
        </is>
      </c>
      <c r="C13" s="102" t="inlineStr">
        <is>
          <t>月度结账出具财务报表</t>
        </is>
      </c>
      <c r="D13" s="102" t="inlineStr">
        <is>
          <t>账务处理、月末关账、编制月度财务报表</t>
        </is>
      </c>
      <c r="E13" s="102" t="inlineStr">
        <is>
          <t>1、《会计凭证》；2、《月度财务报表》</t>
        </is>
      </c>
      <c r="F13" s="102" t="inlineStr">
        <is>
          <t>每月月末关账时</t>
        </is>
      </c>
      <c r="G13" s="102" t="inlineStr">
        <is>
          <t>A</t>
        </is>
      </c>
      <c r="H13" s="102" t="inlineStr">
        <is>
          <t>I</t>
        </is>
      </c>
      <c r="I13" s="102" t="inlineStr">
        <is>
          <t>—</t>
        </is>
      </c>
      <c r="J13" s="102" t="inlineStr">
        <is>
          <t>—</t>
        </is>
      </c>
      <c r="K13" s="102" t="inlineStr">
        <is>
          <t>—</t>
        </is>
      </c>
      <c r="L13" s="102" t="inlineStr">
        <is>
          <t>—</t>
        </is>
      </c>
      <c r="M13" s="102" t="inlineStr">
        <is>
          <t>R</t>
        </is>
      </c>
      <c r="N13" s="102" t="inlineStr">
        <is>
          <t>—</t>
        </is>
      </c>
      <c r="O13" s="102" t="inlineStr">
        <is>
          <t>—</t>
        </is>
      </c>
      <c r="P13" s="102" t="inlineStr">
        <is>
          <t>—</t>
        </is>
      </c>
      <c r="Q13" s="102" t="inlineStr">
        <is>
          <t>—</t>
        </is>
      </c>
      <c r="R13" s="102" t="inlineStr">
        <is>
          <t>—</t>
        </is>
      </c>
      <c r="S13" s="102" t="inlineStr">
        <is>
          <t>—</t>
        </is>
      </c>
      <c r="T13" s="103">
        <f>COUNTIF(G13:S13,"A")</f>
        <v/>
      </c>
      <c r="U13" s="103">
        <f>COUNTIF(G13:S13,"R")</f>
        <v/>
      </c>
      <c r="V13" s="103">
        <f>IF(A13="","",IF(T13&lt;&gt;1,"A数量必须=1",IF(U13&lt;1,"至少需要1个R","OK")))</f>
        <v/>
      </c>
      <c r="W13" s="102" t="inlineStr">
        <is>
          <t>王勇</t>
        </is>
      </c>
      <c r="X13" s="100" t="inlineStr">
        <is>
          <t>2026.10.4</t>
        </is>
      </c>
      <c r="Y13" s="104" t="inlineStr">
        <is>
          <t>董事长承担，会计岗位执行</t>
        </is>
      </c>
    </row>
    <row r="14" ht="42" customHeight="1" s="42">
      <c r="A14" s="98" t="inlineStr">
        <is>
          <t>RACI-010</t>
        </is>
      </c>
      <c r="B14" s="102" t="inlineStr">
        <is>
          <t>采购组/供应链</t>
        </is>
      </c>
      <c r="C14" s="98" t="inlineStr">
        <is>
          <t>物料采购寻源下单</t>
        </is>
      </c>
      <c r="D14" s="98" t="inlineStr">
        <is>
          <t>物料采购寻源下单|物料询比价、供应商确认、下达采购订单</t>
        </is>
      </c>
      <c r="E14" s="98" t="inlineStr">
        <is>
          <t>1、《采购订单》；2、《询比价记录》</t>
        </is>
      </c>
      <c r="F14" s="98" t="inlineStr">
        <is>
          <t>物料需求时</t>
        </is>
      </c>
      <c r="G14" s="98" t="inlineStr">
        <is>
          <t>—</t>
        </is>
      </c>
      <c r="H14" s="98" t="inlineStr">
        <is>
          <t>I</t>
        </is>
      </c>
      <c r="I14" s="98" t="inlineStr">
        <is>
          <t>C</t>
        </is>
      </c>
      <c r="J14" s="98" t="inlineStr">
        <is>
          <t>C</t>
        </is>
      </c>
      <c r="K14" s="98" t="inlineStr">
        <is>
          <t>A</t>
        </is>
      </c>
      <c r="L14" s="98" t="inlineStr">
        <is>
          <t>—</t>
        </is>
      </c>
      <c r="M14" s="98" t="inlineStr">
        <is>
          <t>C</t>
        </is>
      </c>
      <c r="N14" s="98" t="inlineStr">
        <is>
          <t>—</t>
        </is>
      </c>
      <c r="O14" s="98" t="inlineStr">
        <is>
          <t>—</t>
        </is>
      </c>
      <c r="P14" s="98" t="inlineStr">
        <is>
          <t>—</t>
        </is>
      </c>
      <c r="Q14" s="98" t="inlineStr">
        <is>
          <t>—</t>
        </is>
      </c>
      <c r="R14" s="98" t="inlineStr">
        <is>
          <t>—</t>
        </is>
      </c>
      <c r="S14" s="98" t="inlineStr">
        <is>
          <t>R</t>
        </is>
      </c>
      <c r="T14" s="99">
        <f>COUNTIF(G14:S14,"A")</f>
        <v/>
      </c>
      <c r="U14" s="99">
        <f>COUNTIF(G14:S14,"R")</f>
        <v/>
      </c>
      <c r="V14" s="99">
        <f>IF(A14="","",IF(T14&lt;&gt;1,"A数量必须=1",IF(U14&lt;1,"至少需要1个R","OK")))</f>
        <v/>
      </c>
      <c r="W14" s="98" t="inlineStr">
        <is>
          <t>王晓华</t>
        </is>
      </c>
      <c r="X14" s="100" t="inlineStr">
        <is>
          <t>2026.10.4</t>
        </is>
      </c>
      <c r="Y14" s="101" t="inlineStr">
        <is>
          <t>运营部承担，采购岗位执行</t>
        </is>
      </c>
    </row>
    <row r="15" ht="42" customHeight="1" s="42">
      <c r="A15" s="98" t="inlineStr">
        <is>
          <t>RACI-011</t>
        </is>
      </c>
      <c r="B15" s="102" t="inlineStr">
        <is>
          <t>仓储管理</t>
        </is>
      </c>
      <c r="C15" s="102" t="inlineStr">
        <is>
          <t>仓储管理|物料出入库与盘点</t>
        </is>
      </c>
      <c r="D15" s="102" t="inlineStr">
        <is>
          <t>物料收料、发料、成品出入库、库存盘点</t>
        </is>
      </c>
      <c r="E15" s="102" t="inlineStr">
        <is>
          <t>1、《出入库单据》；2、《盘点表》</t>
        </is>
      </c>
      <c r="F15" s="102" t="inlineStr">
        <is>
          <t>物料收发，按月盘点时</t>
        </is>
      </c>
      <c r="G15" s="102" t="inlineStr">
        <is>
          <t>—</t>
        </is>
      </c>
      <c r="H15" s="102" t="inlineStr">
        <is>
          <t>I</t>
        </is>
      </c>
      <c r="I15" s="102" t="inlineStr">
        <is>
          <t>C</t>
        </is>
      </c>
      <c r="J15" s="102" t="inlineStr">
        <is>
          <t>I</t>
        </is>
      </c>
      <c r="K15" s="102" t="inlineStr">
        <is>
          <t>A</t>
        </is>
      </c>
      <c r="L15" s="102" t="inlineStr">
        <is>
          <t>—</t>
        </is>
      </c>
      <c r="M15" s="102" t="inlineStr">
        <is>
          <t>I</t>
        </is>
      </c>
      <c r="N15" s="102" t="inlineStr">
        <is>
          <t>—</t>
        </is>
      </c>
      <c r="O15" s="102" t="inlineStr">
        <is>
          <t>—</t>
        </is>
      </c>
      <c r="P15" s="102" t="inlineStr">
        <is>
          <t>—</t>
        </is>
      </c>
      <c r="Q15" s="102" t="inlineStr">
        <is>
          <t>—</t>
        </is>
      </c>
      <c r="R15" s="102" t="inlineStr">
        <is>
          <t>—</t>
        </is>
      </c>
      <c r="S15" s="102" t="inlineStr">
        <is>
          <t>R</t>
        </is>
      </c>
      <c r="T15" s="103">
        <f>COUNTIF(G15:S15,"A")</f>
        <v/>
      </c>
      <c r="U15" s="103">
        <f>COUNTIF(G15:S15,"R")</f>
        <v/>
      </c>
      <c r="V15" s="103">
        <f>IF(A15="","",IF(T15&lt;&gt;1,"A数量必须=1",IF(U15&lt;1,"至少需要1个R","OK")))</f>
        <v/>
      </c>
      <c r="W15" s="102" t="inlineStr">
        <is>
          <t>王珊兰</t>
        </is>
      </c>
      <c r="X15" s="100" t="inlineStr">
        <is>
          <t>2026.10.4</t>
        </is>
      </c>
      <c r="Y15" s="104" t="inlineStr">
        <is>
          <t>运营部承担，仓储组执行</t>
        </is>
      </c>
    </row>
    <row r="16" ht="42" customHeight="1" s="42">
      <c r="A16" s="98" t="inlineStr">
        <is>
          <t>RACI-012</t>
        </is>
      </c>
      <c r="B16" s="98" t="inlineStr">
        <is>
          <t>模具管理</t>
        </is>
      </c>
      <c r="C16" s="98" t="inlineStr">
        <is>
          <t>模具维修保养作业</t>
        </is>
      </c>
      <c r="D16" s="98" t="inlineStr">
        <is>
          <t>模具故障维修、周期性保养，更新模具台账</t>
        </is>
      </c>
      <c r="E16" s="98" t="inlineStr">
        <is>
          <t>1、《|模具维修保养记录》</t>
        </is>
      </c>
      <c r="F16" s="98" t="inlineStr">
        <is>
          <t>模具故障/定期保养时</t>
        </is>
      </c>
      <c r="G16" s="102" t="inlineStr">
        <is>
          <t>—</t>
        </is>
      </c>
      <c r="H16" s="102" t="inlineStr">
        <is>
          <t>—</t>
        </is>
      </c>
      <c r="I16" s="98" t="inlineStr">
        <is>
          <t>I</t>
        </is>
      </c>
      <c r="J16" s="98" t="inlineStr">
        <is>
          <t>I</t>
        </is>
      </c>
      <c r="K16" s="98" t="inlineStr">
        <is>
          <t>—</t>
        </is>
      </c>
      <c r="L16" s="98" t="inlineStr">
        <is>
          <t>—</t>
        </is>
      </c>
      <c r="M16" s="98" t="inlineStr">
        <is>
          <t>—</t>
        </is>
      </c>
      <c r="N16" s="98" t="inlineStr">
        <is>
          <t>A</t>
        </is>
      </c>
      <c r="O16" s="98" t="inlineStr">
        <is>
          <t>—</t>
        </is>
      </c>
      <c r="P16" s="98" t="inlineStr">
        <is>
          <t>R</t>
        </is>
      </c>
      <c r="Q16" s="98" t="inlineStr">
        <is>
          <t>—</t>
        </is>
      </c>
      <c r="R16" s="98" t="inlineStr">
        <is>
          <t>—</t>
        </is>
      </c>
      <c r="S16" s="98" t="inlineStr">
        <is>
          <t>—</t>
        </is>
      </c>
      <c r="T16" s="99">
        <f>COUNTIF(G16:S16,"A")</f>
        <v/>
      </c>
      <c r="U16" s="99">
        <f>COUNTIF(G16:S16,"R")</f>
        <v/>
      </c>
      <c r="V16" s="99">
        <f>IF(A16="","",IF(T16&lt;&gt;1,"A数量必须=1",IF(U16&lt;1,"至少需要1个R","OK")))</f>
        <v/>
      </c>
      <c r="W16" s="98" t="inlineStr">
        <is>
          <t>王杰</t>
        </is>
      </c>
      <c r="X16" s="100" t="inlineStr">
        <is>
          <t>2026.10.4</t>
        </is>
      </c>
      <c r="Y16" s="101" t="inlineStr">
        <is>
          <t>模具工程技术组承担，模具维修组执行</t>
        </is>
      </c>
    </row>
    <row r="17" ht="42" customHeight="1" s="42">
      <c r="A17" s="98" t="inlineStr">
        <is>
          <t>RACI-013</t>
        </is>
      </c>
      <c r="B17" s="102" t="inlineStr">
        <is>
          <t>模具管理</t>
        </is>
      </c>
      <c r="C17" s="102" t="inlineStr">
        <is>
          <t>新模/改模方案评审</t>
        </is>
      </c>
      <c r="D17" s="102" t="inlineStr">
        <is>
          <t>新产品模具方案评审、改模确认、输出工艺文件</t>
        </is>
      </c>
      <c r="E17" s="102" t="inlineStr">
        <is>
          <t>1、《模具评审记录》；2、《工艺文件》</t>
        </is>
      </c>
      <c r="F17" s="102" t="inlineStr">
        <is>
          <t>新产品开发、产品改型</t>
        </is>
      </c>
      <c r="G17" s="102" t="inlineStr">
        <is>
          <t>—</t>
        </is>
      </c>
      <c r="H17" s="102" t="inlineStr">
        <is>
          <t>C</t>
        </is>
      </c>
      <c r="I17" s="102" t="inlineStr">
        <is>
          <t>R</t>
        </is>
      </c>
      <c r="J17" s="102" t="inlineStr">
        <is>
          <t>C</t>
        </is>
      </c>
      <c r="K17" s="102" t="inlineStr">
        <is>
          <t>C</t>
        </is>
      </c>
      <c r="L17" s="102" t="inlineStr">
        <is>
          <t>—</t>
        </is>
      </c>
      <c r="M17" s="102" t="inlineStr">
        <is>
          <t>—</t>
        </is>
      </c>
      <c r="N17" s="102" t="inlineStr">
        <is>
          <t>A</t>
        </is>
      </c>
      <c r="O17" s="102" t="inlineStr">
        <is>
          <t>R</t>
        </is>
      </c>
      <c r="P17" s="102" t="inlineStr">
        <is>
          <t>R</t>
        </is>
      </c>
      <c r="Q17" s="102" t="inlineStr">
        <is>
          <t>R</t>
        </is>
      </c>
      <c r="R17" s="102" t="inlineStr">
        <is>
          <t>—</t>
        </is>
      </c>
      <c r="S17" s="102" t="inlineStr">
        <is>
          <t>—</t>
        </is>
      </c>
      <c r="T17" s="103">
        <f>COUNTIF(G17:S17,"A")</f>
        <v/>
      </c>
      <c r="U17" s="103">
        <f>COUNTIF(G17:S17,"R")</f>
        <v/>
      </c>
      <c r="V17" s="103">
        <f>IF(A17="","",IF(T17&lt;&gt;1,"A数量必须=1",IF(U17&lt;1,"至少需要1个R","OK")))</f>
        <v/>
      </c>
      <c r="W17" s="102" t="inlineStr">
        <is>
          <t>刘东</t>
        </is>
      </c>
      <c r="X17" s="100" t="inlineStr">
        <is>
          <t>2026.10.4</t>
        </is>
      </c>
      <c r="Y17" s="104" t="inlineStr">
        <is>
          <t>工程技术组承担，总经理、模具维修组、生产部参与评审</t>
        </is>
      </c>
    </row>
    <row r="18" ht="42" customHeight="1" s="42">
      <c r="A18" s="98" t="inlineStr">
        <is>
          <t>RACI-014</t>
        </is>
      </c>
      <c r="B18" s="98" t="inlineStr">
        <is>
          <t>生产管理</t>
        </is>
      </c>
      <c r="C18" s="98" t="inlineStr">
        <is>
          <t>车间生产、安全与5S管理</t>
        </is>
      </c>
      <c r="D18" s="98" t="inlineStr">
        <is>
          <t>车间安排协调、安全巡检、5S推行、隐患整改闭环</t>
        </is>
      </c>
      <c r="E18" s="98" t="inlineStr">
        <is>
          <t>1、《安全巡检表》；2、《5S检查记录》</t>
        </is>
      </c>
      <c r="F18" s="98" t="inlineStr">
        <is>
          <t>每日现场巡检时时</t>
        </is>
      </c>
      <c r="G18" s="98" t="inlineStr">
        <is>
          <t>—</t>
        </is>
      </c>
      <c r="H18" s="98" t="inlineStr">
        <is>
          <t>I</t>
        </is>
      </c>
      <c r="I18" s="98" t="inlineStr">
        <is>
          <t>A</t>
        </is>
      </c>
      <c r="J18" s="98" t="inlineStr">
        <is>
          <t>C</t>
        </is>
      </c>
      <c r="K18" s="98" t="inlineStr">
        <is>
          <t>—</t>
        </is>
      </c>
      <c r="L18" s="98" t="inlineStr">
        <is>
          <t>C</t>
        </is>
      </c>
      <c r="M18" s="98" t="inlineStr">
        <is>
          <t>—</t>
        </is>
      </c>
      <c r="N18" s="98" t="inlineStr">
        <is>
          <t>—</t>
        </is>
      </c>
      <c r="O18" s="98" t="inlineStr">
        <is>
          <t>R</t>
        </is>
      </c>
      <c r="P18" s="98" t="inlineStr">
        <is>
          <t>R</t>
        </is>
      </c>
      <c r="Q18" s="98" t="inlineStr">
        <is>
          <t>R</t>
        </is>
      </c>
      <c r="R18" s="98" t="inlineStr">
        <is>
          <t>I</t>
        </is>
      </c>
      <c r="S18" s="98" t="inlineStr">
        <is>
          <t>—</t>
        </is>
      </c>
      <c r="T18" s="99">
        <f>COUNTIF(G18:S18,"A")</f>
        <v/>
      </c>
      <c r="U18" s="99">
        <f>COUNTIF(G18:S18,"R")</f>
        <v/>
      </c>
      <c r="V18" s="99">
        <f>IF(A18="","",IF(T18&lt;&gt;1,"A数量必须=1",IF(U18&lt;1,"至少需要1个R","OK")))</f>
        <v/>
      </c>
      <c r="W18" s="98" t="inlineStr">
        <is>
          <t>王小平</t>
        </is>
      </c>
      <c r="X18" s="100" t="inlineStr">
        <is>
          <t>2026.10.4</t>
        </is>
      </c>
      <c r="Y18" s="101" t="inlineStr">
        <is>
          <t>生产部承担，生产、模具维修组执行</t>
        </is>
      </c>
    </row>
    <row r="19" ht="42" customHeight="1" s="42">
      <c r="A19" s="98" t="inlineStr">
        <is>
          <t>RACI-015</t>
        </is>
      </c>
      <c r="B19" s="98" t="inlineStr">
        <is>
          <t>生产管理</t>
        </is>
      </c>
      <c r="C19" s="98" t="inlineStr">
        <is>
          <t>清洗车间生产管控</t>
        </is>
      </c>
      <c r="D19" s="98" t="inlineStr">
        <is>
          <t>清洗任务分派、过程管控、产品自检</t>
        </is>
      </c>
      <c r="E19" s="98" t="inlineStr">
        <is>
          <t>1、《清洗作业记录》；2、《设备点检表》</t>
        </is>
      </c>
      <c r="F19" s="98" t="inlineStr">
        <is>
          <t>下达清洗生产任务时</t>
        </is>
      </c>
      <c r="G19" s="98" t="inlineStr">
        <is>
          <t>—</t>
        </is>
      </c>
      <c r="H19" s="98" t="inlineStr">
        <is>
          <t>—</t>
        </is>
      </c>
      <c r="I19" s="98" t="inlineStr">
        <is>
          <t>A</t>
        </is>
      </c>
      <c r="J19" s="98" t="inlineStr">
        <is>
          <t>I</t>
        </is>
      </c>
      <c r="K19" s="98" t="inlineStr">
        <is>
          <t>—</t>
        </is>
      </c>
      <c r="L19" s="98" t="inlineStr">
        <is>
          <t>—</t>
        </is>
      </c>
      <c r="M19" s="98" t="inlineStr">
        <is>
          <t>—</t>
        </is>
      </c>
      <c r="N19" s="98" t="inlineStr">
        <is>
          <t>—</t>
        </is>
      </c>
      <c r="O19" s="98" t="inlineStr">
        <is>
          <t>—</t>
        </is>
      </c>
      <c r="P19" s="98" t="inlineStr">
        <is>
          <t>—</t>
        </is>
      </c>
      <c r="Q19" s="98" t="inlineStr">
        <is>
          <t>R</t>
        </is>
      </c>
      <c r="R19" s="98" t="inlineStr">
        <is>
          <t>I</t>
        </is>
      </c>
      <c r="S19" s="98" t="inlineStr">
        <is>
          <t>—</t>
        </is>
      </c>
      <c r="T19" s="99">
        <f>COUNTIF(G19:S19,"A")</f>
        <v/>
      </c>
      <c r="U19" s="99">
        <f>COUNTIF(G19:S19,"R")</f>
        <v/>
      </c>
      <c r="V19" s="99">
        <f>IF(A19="","",IF(T19&lt;&gt;1,"A数量必须=1",IF(U19&lt;1,"至少需要1个R","OK")))</f>
        <v/>
      </c>
      <c r="W19" s="98" t="inlineStr">
        <is>
          <t>马金军</t>
        </is>
      </c>
      <c r="X19" s="100" t="inlineStr">
        <is>
          <t>2026.10.4</t>
        </is>
      </c>
      <c r="Y19" s="101" t="inlineStr">
        <is>
          <t>生产部承担，生清洗车间执行</t>
        </is>
      </c>
    </row>
    <row r="20" ht="42" customHeight="1" s="42">
      <c r="A20" s="98" t="inlineStr">
        <is>
          <t>RACI-016</t>
        </is>
      </c>
      <c r="B20" s="102" t="inlineStr">
        <is>
          <t>人事行政</t>
        </is>
      </c>
      <c r="C20" s="102" t="inlineStr">
        <is>
          <t>员工入离职手续办理</t>
        </is>
      </c>
      <c r="D20" s="102" t="inlineStr">
        <is>
          <t>入职登记、合同签订、离职审批及手续办理</t>
        </is>
      </c>
      <c r="E20" s="102" t="inlineStr">
        <is>
          <t>1、《员工档案》；2、《入离职表单》</t>
        </is>
      </c>
      <c r="F20" s="102" t="inlineStr">
        <is>
          <t>人员入职、离职发生时</t>
        </is>
      </c>
      <c r="G20" s="102" t="inlineStr">
        <is>
          <t>—</t>
        </is>
      </c>
      <c r="H20" s="102" t="inlineStr">
        <is>
          <t>A</t>
        </is>
      </c>
      <c r="I20" s="102" t="inlineStr">
        <is>
          <t>C</t>
        </is>
      </c>
      <c r="J20" s="102" t="inlineStr">
        <is>
          <t>C</t>
        </is>
      </c>
      <c r="K20" s="102" t="inlineStr">
        <is>
          <t>—</t>
        </is>
      </c>
      <c r="L20" s="102" t="inlineStr">
        <is>
          <t>R</t>
        </is>
      </c>
      <c r="M20" s="102" t="inlineStr">
        <is>
          <t>I</t>
        </is>
      </c>
      <c r="N20" s="102" t="inlineStr">
        <is>
          <t>—</t>
        </is>
      </c>
      <c r="O20" s="102" t="inlineStr">
        <is>
          <t>—</t>
        </is>
      </c>
      <c r="P20" s="102" t="inlineStr">
        <is>
          <t>—</t>
        </is>
      </c>
      <c r="Q20" s="102" t="inlineStr">
        <is>
          <t>—</t>
        </is>
      </c>
      <c r="R20" s="102" t="inlineStr">
        <is>
          <t>—</t>
        </is>
      </c>
      <c r="S20" s="98" t="inlineStr">
        <is>
          <t>—</t>
        </is>
      </c>
      <c r="T20" s="103">
        <f>COUNTIF(G20:S20,"A")</f>
        <v/>
      </c>
      <c r="U20" s="103">
        <f>COUNTIF(G20:S20,"R")</f>
        <v/>
      </c>
      <c r="V20" s="103">
        <f>IF(A20="","",IF(T20&lt;&gt;1,"A数量必须=1",IF(U20&lt;1,"至少需要1个R","OK")))</f>
        <v/>
      </c>
      <c r="W20" s="102" t="inlineStr">
        <is>
          <t>王晓华</t>
        </is>
      </c>
      <c r="X20" s="100" t="inlineStr">
        <is>
          <t>2026.10.4</t>
        </is>
      </c>
      <c r="Y20" s="104" t="inlineStr">
        <is>
          <t>总经理承担，行政部人事员执行</t>
        </is>
      </c>
    </row>
    <row r="21" ht="42" customHeight="1" s="42">
      <c r="A21" s="98" t="inlineStr">
        <is>
          <t>RACI-017</t>
        </is>
      </c>
      <c r="B21" s="98" t="inlineStr">
        <is>
          <t>人事行政</t>
        </is>
      </c>
      <c r="C21" s="98" t="inlineStr">
        <is>
          <t>考勤统计核算基础数据</t>
        </is>
      </c>
      <c r="D21" s="98" t="inlineStr">
        <is>
          <t>考勤收集、加班核对，输出月度考勤表</t>
        </is>
      </c>
      <c r="E21" s="98" t="inlineStr">
        <is>
          <t>1、《月度考勤汇总表》</t>
        </is>
      </c>
      <c r="F21" s="98" t="inlineStr">
        <is>
          <t>每月月末时</t>
        </is>
      </c>
      <c r="G21" s="102" t="inlineStr">
        <is>
          <t>—</t>
        </is>
      </c>
      <c r="H21" s="102" t="inlineStr">
        <is>
          <t>A</t>
        </is>
      </c>
      <c r="I21" s="102" t="inlineStr">
        <is>
          <t>C</t>
        </is>
      </c>
      <c r="J21" s="102" t="inlineStr">
        <is>
          <t>C</t>
        </is>
      </c>
      <c r="K21" s="102" t="inlineStr">
        <is>
          <t>—</t>
        </is>
      </c>
      <c r="L21" s="102" t="inlineStr">
        <is>
          <t>R</t>
        </is>
      </c>
      <c r="M21" s="102" t="inlineStr">
        <is>
          <t>I</t>
        </is>
      </c>
      <c r="N21" s="102" t="inlineStr">
        <is>
          <t>—</t>
        </is>
      </c>
      <c r="O21" s="102" t="inlineStr">
        <is>
          <t>—</t>
        </is>
      </c>
      <c r="P21" s="102" t="inlineStr">
        <is>
          <t>—</t>
        </is>
      </c>
      <c r="Q21" s="102" t="inlineStr">
        <is>
          <t>—</t>
        </is>
      </c>
      <c r="R21" s="102" t="inlineStr">
        <is>
          <t>—</t>
        </is>
      </c>
      <c r="S21" s="98" t="inlineStr">
        <is>
          <t>—</t>
        </is>
      </c>
      <c r="T21" s="99">
        <f>COUNTIF(G21:S21,"A")</f>
        <v/>
      </c>
      <c r="U21" s="99">
        <f>COUNTIF(G21:S21,"R")</f>
        <v/>
      </c>
      <c r="V21" s="99">
        <f>IF(A21="","",IF(T21&lt;&gt;1,"A数量必须=1",IF(U21&lt;1,"至少需要1个R","OK")))</f>
        <v/>
      </c>
      <c r="W21" s="102" t="inlineStr">
        <is>
          <t>王晓华</t>
        </is>
      </c>
      <c r="X21" s="100" t="inlineStr">
        <is>
          <t>2026.10.4</t>
        </is>
      </c>
      <c r="Y21" s="104" t="inlineStr">
        <is>
          <t>总经理承担，行政部人事员执行</t>
        </is>
      </c>
    </row>
    <row r="22" ht="42" customHeight="1" s="42">
      <c r="A22" s="98" t="inlineStr">
        <is>
          <t>RACI-018</t>
        </is>
      </c>
      <c r="B22" s="102" t="inlineStr">
        <is>
          <t>后勤管理</t>
        </is>
      </c>
      <c r="C22" s="102" t="inlineStr">
        <is>
          <t>厂区安保及食堂管理</t>
        </is>
      </c>
      <c r="D22" s="102" t="inlineStr">
        <is>
          <t>门卫值守访客登记、食堂餐食及后勤环境管理</t>
        </is>
      </c>
      <c r="E22" s="102" t="inlineStr">
        <is>
          <t>1、《访客登记本》；2、《食堂消毒记录》</t>
        </is>
      </c>
      <c r="F22" s="102" t="inlineStr">
        <is>
          <t>日常持续运行时</t>
        </is>
      </c>
      <c r="G22" s="102" t="inlineStr">
        <is>
          <t>A</t>
        </is>
      </c>
      <c r="H22" s="102" t="inlineStr">
        <is>
          <t>I</t>
        </is>
      </c>
      <c r="I22" s="102" t="inlineStr">
        <is>
          <t>—</t>
        </is>
      </c>
      <c r="J22" s="102" t="inlineStr">
        <is>
          <t>—</t>
        </is>
      </c>
      <c r="K22" s="16" t="n"/>
      <c r="L22" s="102" t="inlineStr">
        <is>
          <t>R</t>
        </is>
      </c>
      <c r="M22" s="102" t="inlineStr">
        <is>
          <t>I</t>
        </is>
      </c>
      <c r="N22" s="102" t="inlineStr">
        <is>
          <t>—</t>
        </is>
      </c>
      <c r="O22" s="102" t="inlineStr">
        <is>
          <t>—</t>
        </is>
      </c>
      <c r="P22" s="102" t="inlineStr">
        <is>
          <t>—</t>
        </is>
      </c>
      <c r="Q22" s="102" t="inlineStr">
        <is>
          <t>—</t>
        </is>
      </c>
      <c r="R22" s="102" t="inlineStr">
        <is>
          <t>—</t>
        </is>
      </c>
      <c r="S22" s="102" t="inlineStr">
        <is>
          <t>—</t>
        </is>
      </c>
      <c r="T22" s="103">
        <f>COUNTIF(G22:S22,"A")</f>
        <v/>
      </c>
      <c r="U22" s="103">
        <f>COUNTIF(G22:S22,"R")</f>
        <v/>
      </c>
      <c r="V22" s="103">
        <f>IF(A22="","",IF(T22&lt;&gt;1,"A数量必须=1",IF(U22&lt;1,"至少需要1个R","OK")))</f>
        <v/>
      </c>
      <c r="W22" s="102" t="inlineStr">
        <is>
          <t>王勇</t>
        </is>
      </c>
      <c r="X22" s="100" t="inlineStr">
        <is>
          <t>2026.10.4</t>
        </is>
      </c>
      <c r="Y22" s="104" t="inlineStr">
        <is>
          <t>董事长承担，后勤岗位（门卫、炊事员）执行</t>
        </is>
      </c>
    </row>
    <row r="23" ht="42" customHeight="1" s="42">
      <c r="A23" s="98" t="inlineStr">
        <is>
          <t>RACI-019</t>
        </is>
      </c>
      <c r="B23" s="102" t="inlineStr">
        <is>
          <t>出货管理</t>
        </is>
      </c>
      <c r="C23" s="102" t="inlineStr">
        <is>
          <t>成品包装与出货核对放行</t>
        </is>
      </c>
      <c r="D23" s="102" t="inlineStr">
        <is>
          <t>成品包装贴标、出货核对、出货检验</t>
        </is>
      </c>
      <c r="E23" s="102" t="inlineStr">
        <is>
          <t>1、《出货通知单》；2、《检验记录》</t>
        </is>
      </c>
      <c r="F23" s="102" t="inlineStr">
        <is>
          <t>出货时</t>
        </is>
      </c>
      <c r="G23" s="102" t="inlineStr">
        <is>
          <t>—</t>
        </is>
      </c>
      <c r="H23" s="102" t="inlineStr">
        <is>
          <t>I</t>
        </is>
      </c>
      <c r="I23" s="102" t="inlineStr">
        <is>
          <t>C</t>
        </is>
      </c>
      <c r="J23" s="102" t="inlineStr">
        <is>
          <t>A</t>
        </is>
      </c>
      <c r="K23" s="102" t="inlineStr">
        <is>
          <t>R</t>
        </is>
      </c>
      <c r="L23" s="102" t="inlineStr">
        <is>
          <t>—</t>
        </is>
      </c>
      <c r="M23" s="102" t="inlineStr">
        <is>
          <t>I</t>
        </is>
      </c>
      <c r="N23" s="102" t="inlineStr">
        <is>
          <t>—</t>
        </is>
      </c>
      <c r="O23" s="102" t="inlineStr">
        <is>
          <t>—</t>
        </is>
      </c>
      <c r="P23" s="102" t="inlineStr">
        <is>
          <t>—</t>
        </is>
      </c>
      <c r="Q23" s="102" t="inlineStr">
        <is>
          <t>—</t>
        </is>
      </c>
      <c r="R23" s="102" t="inlineStr">
        <is>
          <t>R</t>
        </is>
      </c>
      <c r="S23" s="102" t="inlineStr">
        <is>
          <t>R</t>
        </is>
      </c>
      <c r="T23" s="103">
        <f>COUNTIF(G23:S23,"A")</f>
        <v/>
      </c>
      <c r="U23" s="103">
        <f>COUNTIF(G23:S23,"R")</f>
        <v/>
      </c>
      <c r="V23" s="103">
        <f>IF(A23="","",IF(T23&lt;&gt;1,"A数量必须=1",IF(U23&lt;1,"至少需要1个R","OK")))</f>
        <v/>
      </c>
      <c r="W23" s="102" t="inlineStr">
        <is>
          <t>王秋红</t>
        </is>
      </c>
      <c r="X23" s="100" t="inlineStr">
        <is>
          <t>2026.10.4</t>
        </is>
      </c>
      <c r="Y23" s="104" t="inlineStr">
        <is>
          <t>品质部承担，成品出货检验组、包装、仓储组，运营部业务协同</t>
        </is>
      </c>
    </row>
    <row r="24" ht="42" customHeight="1" s="42">
      <c r="A24" s="98" t="inlineStr">
        <is>
          <t>RACI-020</t>
        </is>
      </c>
      <c r="B24" s="98" t="inlineStr">
        <is>
          <t>体系管理</t>
        </is>
      </c>
      <c r="C24" s="98" t="inlineStr">
        <is>
          <t>质量体系维护与内外审</t>
        </is>
      </c>
      <c r="D24" s="98" t="inlineStr">
        <is>
          <t>体系文件维护、内审实施、不符合项整改跟踪</t>
        </is>
      </c>
      <c r="E24" s="98" t="inlineStr">
        <is>
          <t>1、《受控文件清单》；2、《内审报告》</t>
        </is>
      </c>
      <c r="F24" s="98" t="inlineStr">
        <is>
          <t>年度内、外审时</t>
        </is>
      </c>
      <c r="G24" s="98" t="inlineStr">
        <is>
          <t>—</t>
        </is>
      </c>
      <c r="H24" s="98" t="inlineStr">
        <is>
          <t>A</t>
        </is>
      </c>
      <c r="I24" s="98" t="inlineStr">
        <is>
          <t>C</t>
        </is>
      </c>
      <c r="J24" s="102" t="inlineStr">
        <is>
          <t>R</t>
        </is>
      </c>
      <c r="K24" s="98" t="inlineStr">
        <is>
          <t>C</t>
        </is>
      </c>
      <c r="L24" s="98" t="inlineStr">
        <is>
          <t>C</t>
        </is>
      </c>
      <c r="M24" s="98" t="inlineStr">
        <is>
          <t>—</t>
        </is>
      </c>
      <c r="N24" s="98" t="inlineStr">
        <is>
          <t>C</t>
        </is>
      </c>
      <c r="O24" s="98" t="inlineStr">
        <is>
          <t>C</t>
        </is>
      </c>
      <c r="P24" s="98" t="inlineStr">
        <is>
          <t>C</t>
        </is>
      </c>
      <c r="Q24" s="98" t="inlineStr">
        <is>
          <t>C</t>
        </is>
      </c>
      <c r="R24" s="98" t="inlineStr">
        <is>
          <t>R</t>
        </is>
      </c>
      <c r="S24" s="102" t="inlineStr">
        <is>
          <t>C</t>
        </is>
      </c>
      <c r="T24" s="99">
        <f>COUNTIF(G24:S24,"A")</f>
        <v/>
      </c>
      <c r="U24" s="99">
        <f>COUNTIF(G24:S24,"R")</f>
        <v/>
      </c>
      <c r="V24" s="99">
        <f>IF(A24="","",IF(T24&lt;&gt;1,"A数量必须=1",IF(U24&lt;1,"至少需要1个R","OK")))</f>
        <v/>
      </c>
      <c r="W24" s="98" t="inlineStr">
        <is>
          <t>王晓华</t>
        </is>
      </c>
      <c r="X24" s="100" t="inlineStr">
        <is>
          <t>2026.10.4</t>
        </is>
      </c>
      <c r="Y24" s="101" t="inlineStr">
        <is>
          <t>总经理承担，品质部执行，各部门参与参与。</t>
        </is>
      </c>
    </row>
    <row r="25" ht="42" customHeight="1" s="42">
      <c r="A25" s="98" t="inlineStr">
        <is>
          <t>RACI-021</t>
        </is>
      </c>
      <c r="B25" s="102" t="inlineStr">
        <is>
          <t>设备工装</t>
        </is>
      </c>
      <c r="C25" s="102" t="inlineStr">
        <is>
          <t>冲床日常点检维护</t>
        </is>
      </c>
      <c r="D25" s="102" t="inlineStr">
        <is>
          <t>冲开班点检、故障报修处置</t>
        </is>
      </c>
      <c r="E25" s="102" t="inlineStr">
        <is>
          <t>1、《冲床点检记录》；2、《设备维修单》</t>
        </is>
      </c>
      <c r="F25" s="102" t="inlineStr">
        <is>
          <t>每日开班、设备故障发生时</t>
        </is>
      </c>
      <c r="G25" s="102" t="inlineStr">
        <is>
          <t>—</t>
        </is>
      </c>
      <c r="H25" s="102" t="inlineStr">
        <is>
          <t>—</t>
        </is>
      </c>
      <c r="I25" s="102" t="inlineStr">
        <is>
          <t>A</t>
        </is>
      </c>
      <c r="J25" s="102" t="inlineStr">
        <is>
          <t>I</t>
        </is>
      </c>
      <c r="K25" s="102" t="inlineStr">
        <is>
          <t>—</t>
        </is>
      </c>
      <c r="L25" s="102" t="inlineStr">
        <is>
          <t>—</t>
        </is>
      </c>
      <c r="M25" s="102" t="inlineStr">
        <is>
          <t>—</t>
        </is>
      </c>
      <c r="N25" s="102" t="inlineStr">
        <is>
          <t>C</t>
        </is>
      </c>
      <c r="O25" s="102" t="inlineStr">
        <is>
          <t>R</t>
        </is>
      </c>
      <c r="P25" s="102" t="inlineStr">
        <is>
          <t>R</t>
        </is>
      </c>
      <c r="Q25" s="102" t="inlineStr">
        <is>
          <t>R</t>
        </is>
      </c>
      <c r="R25" s="102" t="inlineStr">
        <is>
          <t>I</t>
        </is>
      </c>
      <c r="S25" s="102" t="inlineStr">
        <is>
          <t>—</t>
        </is>
      </c>
      <c r="T25" s="103">
        <f>COUNTIF(G25:S25,"A")</f>
        <v/>
      </c>
      <c r="U25" s="103">
        <f>COUNTIF(G25:S25,"R")</f>
        <v/>
      </c>
      <c r="V25" s="103">
        <f>IF(A25="","",IF(T25&lt;&gt;1,"A数量必须=1",IF(U25&lt;1,"至少需要1个R","OK")))</f>
        <v/>
      </c>
      <c r="W25" s="102" t="inlineStr">
        <is>
          <t>王小平</t>
        </is>
      </c>
      <c r="X25" s="100" t="inlineStr">
        <is>
          <t>2026.10.4</t>
        </is>
      </c>
      <c r="Y25" s="104" t="inlineStr">
        <is>
          <t>生产部承担：生产车间执行</t>
        </is>
      </c>
    </row>
    <row r="26" ht="42" customHeight="1" s="42">
      <c r="A26" s="98" t="inlineStr">
        <is>
          <t>RACI-022</t>
        </is>
      </c>
      <c r="B26" s="102" t="inlineStr">
        <is>
          <t>设备工装</t>
        </is>
      </c>
      <c r="C26" s="102" t="inlineStr">
        <is>
          <t>清洗设备常点检维护</t>
        </is>
      </c>
      <c r="D26" s="102" t="inlineStr">
        <is>
          <t>清洗设备开班点检、故障报修处置</t>
        </is>
      </c>
      <c r="E26" s="102" t="inlineStr">
        <is>
          <t>1、《清洗设备点检记录》；2、《设备维修单》</t>
        </is>
      </c>
      <c r="F26" s="102" t="inlineStr">
        <is>
          <t>每日开班、设备故障发生时</t>
        </is>
      </c>
      <c r="G26" s="102" t="inlineStr">
        <is>
          <t>—</t>
        </is>
      </c>
      <c r="H26" s="102" t="inlineStr">
        <is>
          <t>—</t>
        </is>
      </c>
      <c r="I26" s="102" t="inlineStr">
        <is>
          <t>A</t>
        </is>
      </c>
      <c r="J26" s="102" t="inlineStr">
        <is>
          <t>I</t>
        </is>
      </c>
      <c r="K26" s="102" t="inlineStr">
        <is>
          <t>—</t>
        </is>
      </c>
      <c r="L26" s="102" t="inlineStr">
        <is>
          <t>—</t>
        </is>
      </c>
      <c r="M26" s="102" t="inlineStr">
        <is>
          <t>—</t>
        </is>
      </c>
      <c r="N26" s="102" t="inlineStr">
        <is>
          <t>C</t>
        </is>
      </c>
      <c r="O26" s="102" t="inlineStr">
        <is>
          <t>R</t>
        </is>
      </c>
      <c r="P26" s="102" t="inlineStr">
        <is>
          <t>R</t>
        </is>
      </c>
      <c r="Q26" s="102" t="inlineStr">
        <is>
          <t>R</t>
        </is>
      </c>
      <c r="R26" s="102" t="inlineStr">
        <is>
          <t>I</t>
        </is>
      </c>
      <c r="S26" s="102" t="inlineStr">
        <is>
          <t>—</t>
        </is>
      </c>
      <c r="T26" s="103">
        <f>COUNTIF(G26:S26,"A")</f>
        <v/>
      </c>
      <c r="U26" s="103">
        <f>COUNTIF(G26:S26,"R")</f>
        <v/>
      </c>
      <c r="V26" s="103">
        <f>IF(A26="","",IF(T26&lt;&gt;1,"A数量必须=1",IF(U26&lt;1,"至少需要1个R","OK")))</f>
        <v/>
      </c>
      <c r="W26" s="102" t="inlineStr">
        <is>
          <t>马金军</t>
        </is>
      </c>
      <c r="X26" s="100" t="inlineStr">
        <is>
          <t>2026.10.4</t>
        </is>
      </c>
      <c r="Y26" s="104" t="inlineStr">
        <is>
          <t>生产部承担：清洗车间执行</t>
        </is>
      </c>
    </row>
    <row r="27" ht="42" customHeight="1" s="42">
      <c r="A27" s="98" t="inlineStr">
        <is>
          <t>RACI-023</t>
        </is>
      </c>
      <c r="B27" s="98" t="inlineStr">
        <is>
          <t>异常管理</t>
        </is>
      </c>
      <c r="C27" s="98" t="inlineStr">
        <is>
          <t>|重大生产异常处置</t>
        </is>
      </c>
      <c r="D27" s="98" t="inlineStr">
        <is>
          <t>生产停线、批量不良事件评估、处置决策</t>
        </is>
      </c>
      <c r="E27" s="98" t="inlineStr">
        <is>
          <t>1、《重大生产异常处置报告》</t>
        </is>
      </c>
      <c r="F27" s="98" t="inlineStr">
        <is>
          <t>发生重大生产停线/批量不良时</t>
        </is>
      </c>
      <c r="G27" s="98" t="inlineStr">
        <is>
          <t>—</t>
        </is>
      </c>
      <c r="H27" s="98" t="inlineStr">
        <is>
          <t>A</t>
        </is>
      </c>
      <c r="I27" s="98" t="inlineStr">
        <is>
          <t>R</t>
        </is>
      </c>
      <c r="J27" s="98" t="inlineStr">
        <is>
          <t>C</t>
        </is>
      </c>
      <c r="K27" s="98" t="inlineStr">
        <is>
          <t>C</t>
        </is>
      </c>
      <c r="L27" s="98" t="inlineStr">
        <is>
          <t>—</t>
        </is>
      </c>
      <c r="M27" s="98" t="inlineStr">
        <is>
          <t>—</t>
        </is>
      </c>
      <c r="N27" s="98" t="inlineStr">
        <is>
          <t>C</t>
        </is>
      </c>
      <c r="O27" s="98" t="inlineStr">
        <is>
          <t>R</t>
        </is>
      </c>
      <c r="P27" s="98" t="inlineStr">
        <is>
          <t>R</t>
        </is>
      </c>
      <c r="Q27" s="98" t="inlineStr">
        <is>
          <t>R</t>
        </is>
      </c>
      <c r="R27" s="98" t="inlineStr">
        <is>
          <t>R</t>
        </is>
      </c>
      <c r="S27" s="98" t="inlineStr">
        <is>
          <t>C</t>
        </is>
      </c>
      <c r="T27" s="99">
        <f>COUNTIF(G27:S27,"A")</f>
        <v/>
      </c>
      <c r="U27" s="99">
        <f>COUNTIF(G27:S27,"R")</f>
        <v/>
      </c>
      <c r="V27" s="99">
        <f>IF(A27="","",IF(T27&lt;&gt;1,"A数量必须=1",IF(U27&lt;1,"至少需要1个R","OK")))</f>
        <v/>
      </c>
      <c r="W27" s="102" t="inlineStr">
        <is>
          <t>王晓华</t>
        </is>
      </c>
      <c r="X27" s="100" t="inlineStr">
        <is>
          <t>2026.10.4</t>
        </is>
      </c>
      <c r="Y27" s="101" t="inlineStr">
        <is>
          <t>总经理承担，生产及各车间，品质/营运/技术协同参与执行</t>
        </is>
      </c>
    </row>
    <row r="28" ht="42" customHeight="1" s="42">
      <c r="A28" s="12" t="n"/>
      <c r="B28" s="16" t="n"/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7" t="n"/>
      <c r="U28" s="17" t="n"/>
      <c r="V28" s="103">
        <f>IF(A28="","",IF(T28&lt;&gt;1,"A数量必须=1",IF(U28&lt;1,"至少需要1个R","OK")))</f>
        <v/>
      </c>
      <c r="W28" s="16" t="n"/>
      <c r="X28" s="77" t="n"/>
      <c r="Y28" s="18" t="n"/>
    </row>
    <row r="29" ht="42" customHeight="1" s="42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3" t="n"/>
      <c r="U29" s="13" t="n"/>
      <c r="V29" s="99">
        <f>IF(A29="","",IF(T29&lt;&gt;1,"A数量必须=1",IF(U29&lt;1,"至少需要1个R","OK")))</f>
        <v/>
      </c>
      <c r="W29" s="12" t="n"/>
      <c r="X29" s="76" t="n"/>
      <c r="Y29" s="15" t="n"/>
    </row>
    <row r="30" ht="42" customHeight="1" s="42">
      <c r="A30" s="16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7" t="n"/>
      <c r="U30" s="17" t="n"/>
      <c r="V30" s="103">
        <f>IF(A30="","",IF(T30&lt;&gt;1,"A数量必须=1",IF(U30&lt;1,"至少需要1个R","OK")))</f>
        <v/>
      </c>
      <c r="W30" s="16" t="n"/>
      <c r="X30" s="77" t="n"/>
      <c r="Y30" s="18" t="n"/>
    </row>
    <row r="31" ht="42" customHeight="1" s="42">
      <c r="A31" s="12" t="n"/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3" t="n"/>
      <c r="U31" s="13" t="n"/>
      <c r="V31" s="99">
        <f>IF(A31="","",IF(T31&lt;&gt;1,"A数量必须=1",IF(U31&lt;1,"至少需要1个R","OK")))</f>
        <v/>
      </c>
      <c r="W31" s="12" t="n"/>
      <c r="X31" s="76" t="n"/>
      <c r="Y31" s="15" t="n"/>
    </row>
    <row r="32" ht="42" customHeight="1" s="42">
      <c r="A32" s="16" t="n"/>
      <c r="B32" s="16" t="n"/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7" t="n"/>
      <c r="U32" s="17" t="n"/>
      <c r="V32" s="103">
        <f>IF(A32="","",IF(T32&lt;&gt;1,"A数量必须=1",IF(U32&lt;1,"至少需要1个R","OK")))</f>
        <v/>
      </c>
      <c r="W32" s="16" t="n"/>
      <c r="X32" s="77" t="n"/>
      <c r="Y32" s="18" t="n"/>
    </row>
    <row r="33" ht="42" customHeight="1" s="42">
      <c r="A33" s="12" t="n"/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3" t="n"/>
      <c r="U33" s="13" t="n"/>
      <c r="V33" s="99">
        <f>IF(A33="","",IF(T33&lt;&gt;1,"A数量必须=1",IF(U33&lt;1,"至少需要1个R","OK")))</f>
        <v/>
      </c>
      <c r="W33" s="12" t="n"/>
      <c r="X33" s="76" t="n"/>
      <c r="Y33" s="15" t="n"/>
    </row>
    <row r="34" ht="42" customHeight="1" s="42">
      <c r="A34" s="16" t="n"/>
      <c r="B34" s="16" t="n"/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7" t="n"/>
      <c r="U34" s="17" t="n"/>
      <c r="V34" s="103">
        <f>IF(A34="","",IF(T34&lt;&gt;1,"A数量必须=1",IF(U34&lt;1,"至少需要1个R","OK")))</f>
        <v/>
      </c>
      <c r="W34" s="16" t="n"/>
      <c r="X34" s="77" t="n"/>
      <c r="Y34" s="18" t="n"/>
    </row>
    <row r="35" ht="42" customHeight="1" s="42">
      <c r="A35" s="12" t="n"/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3" t="n"/>
      <c r="U35" s="13" t="n"/>
      <c r="V35" s="99">
        <f>IF(A35="","",IF(T35&lt;&gt;1,"A数量必须=1",IF(U35&lt;1,"至少需要1个R","OK")))</f>
        <v/>
      </c>
      <c r="W35" s="12" t="n"/>
      <c r="X35" s="76" t="n"/>
      <c r="Y35" s="15" t="n"/>
    </row>
    <row r="36" ht="42" customHeight="1" s="42">
      <c r="A36" s="16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7" t="n"/>
      <c r="U36" s="17" t="n"/>
      <c r="V36" s="103">
        <f>IF(A36="","",IF(T36&lt;&gt;1,"A数量必须=1",IF(U36&lt;1,"至少需要1个R","OK")))</f>
        <v/>
      </c>
      <c r="W36" s="16" t="n"/>
      <c r="X36" s="77" t="n"/>
      <c r="Y36" s="18" t="n"/>
    </row>
    <row r="37" ht="42" customHeight="1" s="42">
      <c r="A37" s="12" t="n"/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3" t="n"/>
      <c r="U37" s="13" t="n"/>
      <c r="V37" s="99">
        <f>IF(A37="","",IF(T37&lt;&gt;1,"A数量必须=1",IF(U37&lt;1,"至少需要1个R","OK")))</f>
        <v/>
      </c>
      <c r="W37" s="12" t="n"/>
      <c r="X37" s="76" t="n"/>
      <c r="Y37" s="15" t="n"/>
    </row>
    <row r="38" ht="42" customHeight="1" s="42">
      <c r="A38" s="16" t="n"/>
      <c r="B38" s="16" t="n"/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7" t="n"/>
      <c r="U38" s="17" t="n"/>
      <c r="V38" s="103">
        <f>IF(A38="","",IF(T38&lt;&gt;1,"A数量必须=1",IF(U38&lt;1,"至少需要1个R","OK")))</f>
        <v/>
      </c>
      <c r="W38" s="16" t="n"/>
      <c r="X38" s="77" t="n"/>
      <c r="Y38" s="18" t="n"/>
    </row>
    <row r="39" ht="42" customHeight="1" s="42">
      <c r="A39" s="12" t="n"/>
      <c r="B39" s="12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3" t="n"/>
      <c r="U39" s="13" t="n"/>
      <c r="V39" s="99">
        <f>IF(A39="","",IF(T39&lt;&gt;1,"A数量必须=1",IF(U39&lt;1,"至少需要1个R","OK")))</f>
        <v/>
      </c>
      <c r="W39" s="12" t="n"/>
      <c r="X39" s="76" t="n"/>
      <c r="Y39" s="15" t="n"/>
    </row>
    <row r="40" ht="42" customHeight="1" s="42">
      <c r="A40" s="16" t="n"/>
      <c r="B40" s="16" t="n"/>
      <c r="C40" s="16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7" t="n"/>
      <c r="U40" s="17" t="n"/>
      <c r="V40" s="103">
        <f>IF(A40="","",IF(T40&lt;&gt;1,"A数量必须=1",IF(U40&lt;1,"至少需要1个R","OK")))</f>
        <v/>
      </c>
      <c r="W40" s="16" t="n"/>
      <c r="X40" s="77" t="n"/>
      <c r="Y40" s="18" t="n"/>
    </row>
    <row r="41" ht="42" customHeight="1" s="42">
      <c r="A41" s="12" t="n"/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3" t="n"/>
      <c r="U41" s="13" t="n"/>
      <c r="V41" s="99">
        <f>IF(A41="","",IF(T41&lt;&gt;1,"A数量必须=1",IF(U41&lt;1,"至少需要1个R","OK")))</f>
        <v/>
      </c>
      <c r="W41" s="12" t="n"/>
      <c r="X41" s="76" t="n"/>
      <c r="Y41" s="15" t="n"/>
    </row>
    <row r="42" ht="42" customHeight="1" s="42">
      <c r="A42" s="16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7" t="n"/>
      <c r="U42" s="17" t="n"/>
      <c r="V42" s="103">
        <f>IF(A42="","",IF(T42&lt;&gt;1,"A数量必须=1",IF(U42&lt;1,"至少需要1个R","OK")))</f>
        <v/>
      </c>
      <c r="W42" s="16" t="n"/>
      <c r="X42" s="77" t="n"/>
      <c r="Y42" s="18" t="n"/>
    </row>
    <row r="43" ht="42" customHeight="1" s="42">
      <c r="A43" s="12" t="n"/>
      <c r="B43" s="12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12" t="n"/>
      <c r="R43" s="12" t="n"/>
      <c r="S43" s="12" t="n"/>
      <c r="T43" s="13" t="n"/>
      <c r="U43" s="13" t="n"/>
      <c r="V43" s="99">
        <f>IF(A43="","",IF(T43&lt;&gt;1,"A数量必须=1",IF(U43&lt;1,"至少需要1个R","OK")))</f>
        <v/>
      </c>
      <c r="W43" s="12" t="n"/>
      <c r="X43" s="76" t="n"/>
      <c r="Y43" s="15" t="n"/>
    </row>
    <row r="44" ht="42" customHeight="1" s="42">
      <c r="A44" s="16" t="n"/>
      <c r="B44" s="16" t="n"/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7" t="n"/>
      <c r="U44" s="17" t="n"/>
      <c r="V44" s="103">
        <f>IF(A44="","",IF(T44&lt;&gt;1,"A数量必须=1",IF(U44&lt;1,"至少需要1个R","OK")))</f>
        <v/>
      </c>
      <c r="W44" s="16" t="n"/>
      <c r="X44" s="77" t="n"/>
      <c r="Y44" s="18" t="n"/>
    </row>
    <row r="45" ht="42" customHeight="1" s="42">
      <c r="A45" s="12" t="n"/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12" t="n"/>
      <c r="R45" s="12" t="n"/>
      <c r="S45" s="12" t="n"/>
      <c r="T45" s="13" t="n"/>
      <c r="U45" s="13" t="n"/>
      <c r="V45" s="99">
        <f>IF(A45="","",IF(T45&lt;&gt;1,"A数量必须=1",IF(U45&lt;1,"至少需要1个R","OK")))</f>
        <v/>
      </c>
      <c r="W45" s="12" t="n"/>
      <c r="X45" s="76" t="n"/>
      <c r="Y45" s="15" t="n"/>
    </row>
    <row r="46" ht="42" customHeight="1" s="42">
      <c r="A46" s="16" t="n"/>
      <c r="B46" s="16" t="n"/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7" t="n"/>
      <c r="U46" s="17" t="n"/>
      <c r="V46" s="103">
        <f>IF(A46="","",IF(T46&lt;&gt;1,"A数量必须=1",IF(U46&lt;1,"至少需要1个R","OK")))</f>
        <v/>
      </c>
      <c r="W46" s="16" t="n"/>
      <c r="X46" s="77" t="n"/>
      <c r="Y46" s="18" t="n"/>
    </row>
    <row r="47" ht="42" customHeight="1" s="42">
      <c r="A47" s="12" t="n"/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3" t="n"/>
      <c r="U47" s="13" t="n"/>
      <c r="V47" s="99">
        <f>IF(A47="","",IF(T47&lt;&gt;1,"A数量必须=1",IF(U47&lt;1,"至少需要1个R","OK")))</f>
        <v/>
      </c>
      <c r="W47" s="12" t="n"/>
      <c r="X47" s="76" t="n"/>
      <c r="Y47" s="15" t="n"/>
    </row>
    <row r="48" ht="42" customHeight="1" s="42">
      <c r="A48" s="16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7" t="n"/>
      <c r="U48" s="17" t="n"/>
      <c r="V48" s="103">
        <f>IF(A48="","",IF(T48&lt;&gt;1,"A数量必须=1",IF(U48&lt;1,"至少需要1个R","OK")))</f>
        <v/>
      </c>
      <c r="W48" s="16" t="n"/>
      <c r="X48" s="77" t="n"/>
      <c r="Y48" s="18" t="n"/>
    </row>
    <row r="49" ht="42" customHeight="1" s="42">
      <c r="A49" s="12" t="n"/>
      <c r="B49" s="12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12" t="n"/>
      <c r="R49" s="12" t="n"/>
      <c r="S49" s="12" t="n"/>
      <c r="T49" s="13" t="n"/>
      <c r="U49" s="13" t="n"/>
      <c r="V49" s="99">
        <f>IF(A49="","",IF(T49&lt;&gt;1,"A数量必须=1",IF(U49&lt;1,"至少需要1个R","OK")))</f>
        <v/>
      </c>
      <c r="W49" s="12" t="n"/>
      <c r="X49" s="76" t="n"/>
      <c r="Y49" s="15" t="n"/>
    </row>
    <row r="50" ht="42" customHeight="1" s="42">
      <c r="A50" s="16" t="n"/>
      <c r="B50" s="16" t="n"/>
      <c r="C50" s="16" t="n"/>
      <c r="D50" s="16" t="n"/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7" t="n"/>
      <c r="U50" s="17" t="n"/>
      <c r="V50" s="103">
        <f>IF(A50="","",IF(T50&lt;&gt;1,"A数量必须=1",IF(U50&lt;1,"至少需要1个R","OK")))</f>
        <v/>
      </c>
      <c r="W50" s="16" t="n"/>
      <c r="X50" s="77" t="n"/>
      <c r="Y50" s="18" t="n"/>
    </row>
    <row r="51" ht="42" customHeight="1" s="42">
      <c r="A51" s="12" t="n"/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3" t="n"/>
      <c r="U51" s="13" t="n"/>
      <c r="V51" s="99">
        <f>IF(A51="","",IF(T51&lt;&gt;1,"A数量必须=1",IF(U51&lt;1,"至少需要1个R","OK")))</f>
        <v/>
      </c>
      <c r="W51" s="12" t="n"/>
      <c r="X51" s="76" t="n"/>
      <c r="Y51" s="15" t="n"/>
    </row>
    <row r="52" ht="42" customHeight="1" s="42">
      <c r="A52" s="16" t="n"/>
      <c r="B52" s="16" t="n"/>
      <c r="C52" s="16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7" t="n"/>
      <c r="U52" s="17" t="n"/>
      <c r="V52" s="103">
        <f>IF(A52="","",IF(T52&lt;&gt;1,"A数量必须=1",IF(U52&lt;1,"至少需要1个R","OK")))</f>
        <v/>
      </c>
      <c r="W52" s="16" t="n"/>
      <c r="X52" s="77" t="n"/>
      <c r="Y52" s="18" t="n"/>
    </row>
    <row r="53" ht="42" customHeight="1" s="42">
      <c r="A53" s="12" t="n"/>
      <c r="B53" s="12" t="n"/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12" t="n"/>
      <c r="O53" s="12" t="n"/>
      <c r="P53" s="12" t="n"/>
      <c r="Q53" s="12" t="n"/>
      <c r="R53" s="12" t="n"/>
      <c r="S53" s="12" t="n"/>
      <c r="T53" s="13" t="n"/>
      <c r="U53" s="13" t="n"/>
      <c r="V53" s="99">
        <f>IF(A53="","",IF(T53&lt;&gt;1,"A数量必须=1",IF(U53&lt;1,"至少需要1个R","OK")))</f>
        <v/>
      </c>
      <c r="W53" s="12" t="n"/>
      <c r="X53" s="76" t="n"/>
      <c r="Y53" s="15" t="n"/>
    </row>
    <row r="54" ht="42" customHeight="1" s="42">
      <c r="A54" s="16" t="n"/>
      <c r="B54" s="16" t="n"/>
      <c r="C54" s="16" t="n"/>
      <c r="D54" s="16" t="n"/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7" t="n"/>
      <c r="U54" s="17" t="n"/>
      <c r="V54" s="103">
        <f>IF(A54="","",IF(T54&lt;&gt;1,"A数量必须=1",IF(U54&lt;1,"至少需要1个R","OK")))</f>
        <v/>
      </c>
      <c r="W54" s="16" t="n"/>
      <c r="X54" s="77" t="n"/>
      <c r="Y54" s="18" t="n"/>
    </row>
    <row r="55" ht="42" customHeight="1" s="42">
      <c r="A55" s="12" t="n"/>
      <c r="B55" s="12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3" t="n"/>
      <c r="U55" s="13" t="n"/>
      <c r="V55" s="99">
        <f>IF(A55="","",IF(T55&lt;&gt;1,"A数量必须=1",IF(U55&lt;1,"至少需要1个R","OK")))</f>
        <v/>
      </c>
      <c r="W55" s="12" t="n"/>
      <c r="X55" s="76" t="n"/>
      <c r="Y55" s="15" t="n"/>
    </row>
    <row r="56" ht="42" customHeight="1" s="42">
      <c r="A56" s="16" t="n"/>
      <c r="B56" s="16" t="n"/>
      <c r="C56" s="16" t="n"/>
      <c r="D56" s="16" t="n"/>
      <c r="E56" s="16" t="n"/>
      <c r="F56" s="16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7" t="n"/>
      <c r="U56" s="17" t="n"/>
      <c r="V56" s="103">
        <f>IF(A56="","",IF(T56&lt;&gt;1,"A数量必须=1",IF(U56&lt;1,"至少需要1个R","OK")))</f>
        <v/>
      </c>
      <c r="W56" s="16" t="n"/>
      <c r="X56" s="77" t="n"/>
      <c r="Y56" s="18" t="n"/>
    </row>
    <row r="57" ht="42" customHeight="1" s="42">
      <c r="A57" s="12" t="n"/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n"/>
      <c r="S57" s="12" t="n"/>
      <c r="T57" s="13" t="n"/>
      <c r="U57" s="13" t="n"/>
      <c r="V57" s="99">
        <f>IF(A57="","",IF(T57&lt;&gt;1,"A数量必须=1",IF(U57&lt;1,"至少需要1个R","OK")))</f>
        <v/>
      </c>
      <c r="W57" s="12" t="n"/>
      <c r="X57" s="76" t="n"/>
      <c r="Y57" s="15" t="n"/>
    </row>
    <row r="58" ht="42" customHeight="1" s="42">
      <c r="A58" s="16" t="n"/>
      <c r="B58" s="16" t="n"/>
      <c r="C58" s="16" t="n"/>
      <c r="D58" s="16" t="n"/>
      <c r="E58" s="16" t="n"/>
      <c r="F58" s="16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7" t="n"/>
      <c r="U58" s="17" t="n"/>
      <c r="V58" s="103">
        <f>IF(A58="","",IF(T58&lt;&gt;1,"A数量必须=1",IF(U58&lt;1,"至少需要1个R","OK")))</f>
        <v/>
      </c>
      <c r="W58" s="16" t="n"/>
      <c r="X58" s="77" t="n"/>
      <c r="Y58" s="18" t="n"/>
    </row>
    <row r="59" ht="42" customHeight="1" s="42">
      <c r="A59" s="12" t="n"/>
      <c r="B59" s="12" t="n"/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  <c r="O59" s="12" t="n"/>
      <c r="P59" s="12" t="n"/>
      <c r="Q59" s="12" t="n"/>
      <c r="R59" s="12" t="n"/>
      <c r="S59" s="12" t="n"/>
      <c r="T59" s="13" t="n"/>
      <c r="U59" s="13" t="n"/>
      <c r="V59" s="99">
        <f>IF(A59="","",IF(T59&lt;&gt;1,"A数量必须=1",IF(U59&lt;1,"至少需要1个R","OK")))</f>
        <v/>
      </c>
      <c r="W59" s="12" t="n"/>
      <c r="X59" s="76" t="n"/>
      <c r="Y59" s="15" t="n"/>
    </row>
    <row r="60" ht="42" customHeight="1" s="42">
      <c r="A60" s="16" t="n"/>
      <c r="B60" s="16" t="n"/>
      <c r="C60" s="16" t="n"/>
      <c r="D60" s="16" t="n"/>
      <c r="E60" s="16" t="n"/>
      <c r="F60" s="16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7" t="n"/>
      <c r="U60" s="17" t="n"/>
      <c r="V60" s="103">
        <f>IF(A60="","",IF(T60&lt;&gt;1,"A数量必须=1",IF(U60&lt;1,"至少需要1个R","OK")))</f>
        <v/>
      </c>
      <c r="W60" s="16" t="n"/>
      <c r="X60" s="77" t="n"/>
      <c r="Y60" s="18" t="n"/>
    </row>
    <row r="61" ht="42" customHeight="1" s="42">
      <c r="A61" s="12" t="n"/>
      <c r="B61" s="12" t="n"/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  <c r="L61" s="12" t="n"/>
      <c r="M61" s="12" t="n"/>
      <c r="N61" s="12" t="n"/>
      <c r="O61" s="12" t="n"/>
      <c r="P61" s="12" t="n"/>
      <c r="Q61" s="12" t="n"/>
      <c r="R61" s="12" t="n"/>
      <c r="S61" s="12" t="n"/>
      <c r="T61" s="13" t="n"/>
      <c r="U61" s="13" t="n"/>
      <c r="V61" s="99">
        <f>IF(A61="","",IF(T61&lt;&gt;1,"A数量必须=1",IF(U61&lt;1,"至少需要1个R","OK")))</f>
        <v/>
      </c>
      <c r="W61" s="12" t="n"/>
      <c r="X61" s="76" t="n"/>
      <c r="Y61" s="15" t="n"/>
    </row>
    <row r="62" ht="42" customHeight="1" s="42">
      <c r="A62" s="16" t="n"/>
      <c r="B62" s="16" t="n"/>
      <c r="C62" s="16" t="n"/>
      <c r="D62" s="16" t="n"/>
      <c r="E62" s="16" t="n"/>
      <c r="F62" s="16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7" t="n"/>
      <c r="U62" s="17" t="n"/>
      <c r="V62" s="103">
        <f>IF(A62="","",IF(T62&lt;&gt;1,"A数量必须=1",IF(U62&lt;1,"至少需要1个R","OK")))</f>
        <v/>
      </c>
      <c r="W62" s="16" t="n"/>
      <c r="X62" s="77" t="n"/>
      <c r="Y62" s="18" t="n"/>
    </row>
    <row r="63" ht="42" customHeight="1" s="42">
      <c r="A63" s="12" t="n"/>
      <c r="B63" s="12" t="n"/>
      <c r="C63" s="12" t="n"/>
      <c r="D63" s="12" t="n"/>
      <c r="E63" s="12" t="n"/>
      <c r="F63" s="12" t="n"/>
      <c r="G63" s="12" t="n"/>
      <c r="H63" s="12" t="n"/>
      <c r="I63" s="12" t="n"/>
      <c r="J63" s="12" t="n"/>
      <c r="K63" s="12" t="n"/>
      <c r="L63" s="12" t="n"/>
      <c r="M63" s="12" t="n"/>
      <c r="N63" s="12" t="n"/>
      <c r="O63" s="12" t="n"/>
      <c r="P63" s="12" t="n"/>
      <c r="Q63" s="12" t="n"/>
      <c r="R63" s="12" t="n"/>
      <c r="S63" s="12" t="n"/>
      <c r="T63" s="13" t="n"/>
      <c r="U63" s="13" t="n"/>
      <c r="V63" s="99">
        <f>IF(A63="","",IF(T63&lt;&gt;1,"A数量必须=1",IF(U63&lt;1,"至少需要1个R","OK")))</f>
        <v/>
      </c>
      <c r="W63" s="12" t="n"/>
      <c r="X63" s="76" t="n"/>
      <c r="Y63" s="15" t="n"/>
    </row>
    <row r="64" ht="42" customHeight="1" s="42">
      <c r="A64" s="16" t="n"/>
      <c r="B64" s="16" t="n"/>
      <c r="C64" s="16" t="n"/>
      <c r="D64" s="16" t="n"/>
      <c r="E64" s="16" t="n"/>
      <c r="F64" s="16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7" t="n"/>
      <c r="U64" s="17" t="n"/>
      <c r="V64" s="103">
        <f>IF(A64="","",IF(T64&lt;&gt;1,"A数量必须=1",IF(U64&lt;1,"至少需要1个R","OK")))</f>
        <v/>
      </c>
      <c r="W64" s="16" t="n"/>
      <c r="X64" s="77" t="n"/>
      <c r="Y64" s="18" t="n"/>
    </row>
    <row r="65" ht="42" customHeight="1" s="42">
      <c r="A65" s="12" t="n"/>
      <c r="B65" s="12" t="n"/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/>
      <c r="R65" s="12" t="n"/>
      <c r="S65" s="12" t="n"/>
      <c r="T65" s="13" t="n"/>
      <c r="U65" s="13" t="n"/>
      <c r="V65" s="99">
        <f>IF(A65="","",IF(T65&lt;&gt;1,"A数量必须=1",IF(U65&lt;1,"至少需要1个R","OK")))</f>
        <v/>
      </c>
      <c r="W65" s="12" t="n"/>
      <c r="X65" s="76" t="n"/>
      <c r="Y65" s="15" t="n"/>
    </row>
    <row r="66" ht="42" customHeight="1" s="42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7" t="n"/>
      <c r="U66" s="17" t="n"/>
      <c r="V66" s="103">
        <f>IF(A66="","",IF(T66&lt;&gt;1,"A数量必须=1",IF(U66&lt;1,"至少需要1个R","OK")))</f>
        <v/>
      </c>
      <c r="W66" s="16" t="n"/>
      <c r="X66" s="77" t="n"/>
      <c r="Y66" s="18" t="n"/>
    </row>
    <row r="67" ht="42" customHeight="1" s="42">
      <c r="A67" s="12" t="n"/>
      <c r="B67" s="12" t="n"/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2" t="n"/>
      <c r="P67" s="12" t="n"/>
      <c r="Q67" s="12" t="n"/>
      <c r="R67" s="12" t="n"/>
      <c r="S67" s="12" t="n"/>
      <c r="T67" s="13" t="n"/>
      <c r="U67" s="13" t="n"/>
      <c r="V67" s="99">
        <f>IF(A67="","",IF(T67&lt;&gt;1,"A数量必须=1",IF(U67&lt;1,"至少需要1个R","OK")))</f>
        <v/>
      </c>
      <c r="W67" s="12" t="n"/>
      <c r="X67" s="76" t="n"/>
      <c r="Y67" s="15" t="n"/>
    </row>
    <row r="68" ht="42" customHeight="1" s="42">
      <c r="A68" s="16" t="n"/>
      <c r="B68" s="16" t="n"/>
      <c r="C68" s="16" t="n"/>
      <c r="D68" s="16" t="n"/>
      <c r="E68" s="16" t="n"/>
      <c r="F68" s="16" t="n"/>
      <c r="G68" s="16" t="n"/>
      <c r="H68" s="16" t="n"/>
      <c r="I68" s="16" t="n"/>
      <c r="J68" s="16" t="n"/>
      <c r="K68" s="16" t="n"/>
      <c r="L68" s="16" t="n"/>
      <c r="M68" s="16" t="n"/>
      <c r="N68" s="16" t="n"/>
      <c r="O68" s="16" t="n"/>
      <c r="P68" s="16" t="n"/>
      <c r="Q68" s="16" t="n"/>
      <c r="R68" s="16" t="n"/>
      <c r="S68" s="16" t="n"/>
      <c r="T68" s="17" t="n"/>
      <c r="U68" s="17" t="n"/>
      <c r="V68" s="103">
        <f>IF(A68="","",IF(T68&lt;&gt;1,"A数量必须=1",IF(U68&lt;1,"至少需要1个R","OK")))</f>
        <v/>
      </c>
      <c r="W68" s="16" t="n"/>
      <c r="X68" s="77" t="n"/>
      <c r="Y68" s="18" t="n"/>
    </row>
    <row r="69" ht="42" customHeight="1" s="42">
      <c r="A69" s="12" t="n"/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  <c r="O69" s="12" t="n"/>
      <c r="P69" s="12" t="n"/>
      <c r="Q69" s="12" t="n"/>
      <c r="R69" s="12" t="n"/>
      <c r="S69" s="12" t="n"/>
      <c r="T69" s="13" t="n"/>
      <c r="U69" s="13" t="n"/>
      <c r="V69" s="99">
        <f>IF(A69="","",IF(T69&lt;&gt;1,"A数量必须=1",IF(U69&lt;1,"至少需要1个R","OK")))</f>
        <v/>
      </c>
      <c r="W69" s="12" t="n"/>
      <c r="X69" s="76" t="n"/>
      <c r="Y69" s="15" t="n"/>
    </row>
    <row r="70" ht="42" customHeight="1" s="42">
      <c r="A70" s="16" t="n"/>
      <c r="B70" s="16" t="n"/>
      <c r="C70" s="16" t="n"/>
      <c r="D70" s="16" t="n"/>
      <c r="E70" s="16" t="n"/>
      <c r="F70" s="16" t="n"/>
      <c r="G70" s="16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7" t="n"/>
      <c r="U70" s="17" t="n"/>
      <c r="V70" s="103">
        <f>IF(A70="","",IF(T70&lt;&gt;1,"A数量必须=1",IF(U70&lt;1,"至少需要1个R","OK")))</f>
        <v/>
      </c>
      <c r="W70" s="16" t="n"/>
      <c r="X70" s="77" t="n"/>
      <c r="Y70" s="18" t="n"/>
    </row>
    <row r="71" ht="42" customHeight="1" s="42">
      <c r="A71" s="12" t="n"/>
      <c r="B71" s="12" t="n"/>
      <c r="C71" s="12" t="n"/>
      <c r="D71" s="12" t="n"/>
      <c r="E71" s="12" t="n"/>
      <c r="F71" s="12" t="n"/>
      <c r="G71" s="12" t="n"/>
      <c r="H71" s="12" t="n"/>
      <c r="I71" s="12" t="n"/>
      <c r="J71" s="12" t="n"/>
      <c r="K71" s="12" t="n"/>
      <c r="L71" s="12" t="n"/>
      <c r="M71" s="12" t="n"/>
      <c r="N71" s="12" t="n"/>
      <c r="O71" s="12" t="n"/>
      <c r="P71" s="12" t="n"/>
      <c r="Q71" s="12" t="n"/>
      <c r="R71" s="12" t="n"/>
      <c r="S71" s="12" t="n"/>
      <c r="T71" s="13" t="n"/>
      <c r="U71" s="13" t="n"/>
      <c r="V71" s="99">
        <f>IF(A71="","",IF(T71&lt;&gt;1,"A数量必须=1",IF(U71&lt;1,"至少需要1个R","OK")))</f>
        <v/>
      </c>
      <c r="W71" s="12" t="n"/>
      <c r="X71" s="76" t="n"/>
      <c r="Y71" s="15" t="n"/>
    </row>
    <row r="72" ht="42" customHeight="1" s="42">
      <c r="A72" s="16" t="n"/>
      <c r="B72" s="16" t="n"/>
      <c r="C72" s="16" t="n"/>
      <c r="D72" s="16" t="n"/>
      <c r="E72" s="16" t="n"/>
      <c r="F72" s="16" t="n"/>
      <c r="G72" s="16" t="n"/>
      <c r="H72" s="16" t="n"/>
      <c r="I72" s="16" t="n"/>
      <c r="J72" s="16" t="n"/>
      <c r="K72" s="16" t="n"/>
      <c r="L72" s="16" t="n"/>
      <c r="M72" s="16" t="n"/>
      <c r="N72" s="16" t="n"/>
      <c r="O72" s="16" t="n"/>
      <c r="P72" s="16" t="n"/>
      <c r="Q72" s="16" t="n"/>
      <c r="R72" s="16" t="n"/>
      <c r="S72" s="16" t="n"/>
      <c r="T72" s="17" t="n"/>
      <c r="U72" s="17" t="n"/>
      <c r="V72" s="103">
        <f>IF(A72="","",IF(T72&lt;&gt;1,"A数量必须=1",IF(U72&lt;1,"至少需要1个R","OK")))</f>
        <v/>
      </c>
      <c r="W72" s="16" t="n"/>
      <c r="X72" s="77" t="n"/>
      <c r="Y72" s="18" t="n"/>
    </row>
    <row r="73" ht="42" customHeight="1" s="42">
      <c r="A73" s="12" t="n"/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2" t="n"/>
      <c r="P73" s="12" t="n"/>
      <c r="Q73" s="12" t="n"/>
      <c r="R73" s="12" t="n"/>
      <c r="S73" s="12" t="n"/>
      <c r="T73" s="13" t="n"/>
      <c r="U73" s="13" t="n"/>
      <c r="V73" s="99">
        <f>IF(A73="","",IF(T73&lt;&gt;1,"A数量必须=1",IF(U73&lt;1,"至少需要1个R","OK")))</f>
        <v/>
      </c>
      <c r="W73" s="12" t="n"/>
      <c r="X73" s="76" t="n"/>
      <c r="Y73" s="15" t="n"/>
    </row>
    <row r="74" ht="42" customHeight="1" s="42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  <c r="J74" s="16" t="n"/>
      <c r="K74" s="16" t="n"/>
      <c r="L74" s="16" t="n"/>
      <c r="M74" s="16" t="n"/>
      <c r="N74" s="16" t="n"/>
      <c r="O74" s="16" t="n"/>
      <c r="P74" s="16" t="n"/>
      <c r="Q74" s="16" t="n"/>
      <c r="R74" s="16" t="n"/>
      <c r="S74" s="16" t="n"/>
      <c r="T74" s="17" t="n"/>
      <c r="U74" s="17" t="n"/>
      <c r="V74" s="103">
        <f>IF(A74="","",IF(T74&lt;&gt;1,"A数量必须=1",IF(U74&lt;1,"至少需要1个R","OK")))</f>
        <v/>
      </c>
      <c r="W74" s="16" t="n"/>
      <c r="X74" s="77" t="n"/>
      <c r="Y74" s="18" t="n"/>
    </row>
    <row r="75" ht="42" customHeight="1" s="42">
      <c r="A75" s="12" t="n"/>
      <c r="B75" s="12" t="n"/>
      <c r="C75" s="12" t="n"/>
      <c r="D75" s="12" t="n"/>
      <c r="E75" s="12" t="n"/>
      <c r="F75" s="12" t="n"/>
      <c r="G75" s="12" t="n"/>
      <c r="H75" s="12" t="n"/>
      <c r="I75" s="12" t="n"/>
      <c r="J75" s="12" t="n"/>
      <c r="K75" s="12" t="n"/>
      <c r="L75" s="12" t="n"/>
      <c r="M75" s="12" t="n"/>
      <c r="N75" s="12" t="n"/>
      <c r="O75" s="12" t="n"/>
      <c r="P75" s="12" t="n"/>
      <c r="Q75" s="12" t="n"/>
      <c r="R75" s="12" t="n"/>
      <c r="S75" s="12" t="n"/>
      <c r="T75" s="13" t="n"/>
      <c r="U75" s="13" t="n"/>
      <c r="V75" s="99">
        <f>IF(A75="","",IF(T75&lt;&gt;1,"A数量必须=1",IF(U75&lt;1,"至少需要1个R","OK")))</f>
        <v/>
      </c>
      <c r="W75" s="12" t="n"/>
      <c r="X75" s="76" t="n"/>
      <c r="Y75" s="15" t="n"/>
    </row>
    <row r="76" ht="42" customHeight="1" s="42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  <c r="J76" s="16" t="n"/>
      <c r="K76" s="16" t="n"/>
      <c r="L76" s="16" t="n"/>
      <c r="M76" s="16" t="n"/>
      <c r="N76" s="16" t="n"/>
      <c r="O76" s="16" t="n"/>
      <c r="P76" s="16" t="n"/>
      <c r="Q76" s="16" t="n"/>
      <c r="R76" s="16" t="n"/>
      <c r="S76" s="16" t="n"/>
      <c r="T76" s="17" t="n"/>
      <c r="U76" s="17" t="n"/>
      <c r="V76" s="103">
        <f>IF(A76="","",IF(T76&lt;&gt;1,"A数量必须=1",IF(U76&lt;1,"至少需要1个R","OK")))</f>
        <v/>
      </c>
      <c r="W76" s="16" t="n"/>
      <c r="X76" s="77" t="n"/>
      <c r="Y76" s="18" t="n"/>
    </row>
    <row r="77" ht="42" customHeight="1" s="42">
      <c r="A77" s="12" t="n"/>
      <c r="B77" s="12" t="n"/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  <c r="O77" s="12" t="n"/>
      <c r="P77" s="12" t="n"/>
      <c r="Q77" s="12" t="n"/>
      <c r="R77" s="12" t="n"/>
      <c r="S77" s="12" t="n"/>
      <c r="T77" s="13" t="n"/>
      <c r="U77" s="13" t="n"/>
      <c r="V77" s="99">
        <f>IF(A77="","",IF(T77&lt;&gt;1,"A数量必须=1",IF(U77&lt;1,"至少需要1个R","OK")))</f>
        <v/>
      </c>
      <c r="W77" s="12" t="n"/>
      <c r="X77" s="76" t="n"/>
      <c r="Y77" s="15" t="n"/>
    </row>
    <row r="78" ht="42" customHeight="1" s="42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  <c r="J78" s="16" t="n"/>
      <c r="K78" s="16" t="n"/>
      <c r="L78" s="16" t="n"/>
      <c r="M78" s="16" t="n"/>
      <c r="N78" s="16" t="n"/>
      <c r="O78" s="16" t="n"/>
      <c r="P78" s="16" t="n"/>
      <c r="Q78" s="16" t="n"/>
      <c r="R78" s="16" t="n"/>
      <c r="S78" s="16" t="n"/>
      <c r="T78" s="17" t="n"/>
      <c r="U78" s="17" t="n"/>
      <c r="V78" s="103">
        <f>IF(A78="","",IF(T78&lt;&gt;1,"A数量必须=1",IF(U78&lt;1,"至少需要1个R","OK")))</f>
        <v/>
      </c>
      <c r="W78" s="16" t="n"/>
      <c r="X78" s="77" t="n"/>
      <c r="Y78" s="18" t="n"/>
    </row>
    <row r="79" ht="42" customHeight="1" s="42">
      <c r="A79" s="12" t="n"/>
      <c r="B79" s="12" t="n"/>
      <c r="C79" s="12" t="n"/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2" t="n"/>
      <c r="P79" s="12" t="n"/>
      <c r="Q79" s="12" t="n"/>
      <c r="R79" s="12" t="n"/>
      <c r="S79" s="12" t="n"/>
      <c r="T79" s="13" t="n"/>
      <c r="U79" s="13" t="n"/>
      <c r="V79" s="99">
        <f>IF(A79="","",IF(T79&lt;&gt;1,"A数量必须=1",IF(U79&lt;1,"至少需要1个R","OK")))</f>
        <v/>
      </c>
      <c r="W79" s="12" t="n"/>
      <c r="X79" s="76" t="n"/>
      <c r="Y79" s="15" t="n"/>
    </row>
    <row r="80" ht="42" customHeight="1" s="42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  <c r="J80" s="16" t="n"/>
      <c r="K80" s="16" t="n"/>
      <c r="L80" s="16" t="n"/>
      <c r="M80" s="16" t="n"/>
      <c r="N80" s="16" t="n"/>
      <c r="O80" s="16" t="n"/>
      <c r="P80" s="16" t="n"/>
      <c r="Q80" s="16" t="n"/>
      <c r="R80" s="16" t="n"/>
      <c r="S80" s="16" t="n"/>
      <c r="T80" s="17" t="n"/>
      <c r="U80" s="17" t="n"/>
      <c r="V80" s="103">
        <f>IF(A80="","",IF(T80&lt;&gt;1,"A数量必须=1",IF(U80&lt;1,"至少需要1个R","OK")))</f>
        <v/>
      </c>
      <c r="W80" s="16" t="n"/>
      <c r="X80" s="77" t="n"/>
      <c r="Y80" s="18" t="n"/>
    </row>
    <row r="81" ht="42" customHeight="1" s="42">
      <c r="A81" s="12" t="n"/>
      <c r="B81" s="12" t="n"/>
      <c r="C81" s="12" t="n"/>
      <c r="D81" s="12" t="n"/>
      <c r="E81" s="12" t="n"/>
      <c r="F81" s="12" t="n"/>
      <c r="G81" s="12" t="n"/>
      <c r="H81" s="12" t="n"/>
      <c r="I81" s="12" t="n"/>
      <c r="J81" s="12" t="n"/>
      <c r="K81" s="12" t="n"/>
      <c r="L81" s="12" t="n"/>
      <c r="M81" s="12" t="n"/>
      <c r="N81" s="12" t="n"/>
      <c r="O81" s="12" t="n"/>
      <c r="P81" s="12" t="n"/>
      <c r="Q81" s="12" t="n"/>
      <c r="R81" s="12" t="n"/>
      <c r="S81" s="12" t="n"/>
      <c r="T81" s="13" t="n"/>
      <c r="U81" s="13" t="n"/>
      <c r="V81" s="99">
        <f>IF(A81="","",IF(T81&lt;&gt;1,"A数量必须=1",IF(U81&lt;1,"至少需要1个R","OK")))</f>
        <v/>
      </c>
      <c r="W81" s="12" t="n"/>
      <c r="X81" s="76" t="n"/>
      <c r="Y81" s="15" t="n"/>
    </row>
    <row r="82" ht="42" customHeight="1" s="42">
      <c r="A82" s="16" t="n"/>
      <c r="B82" s="16" t="n"/>
      <c r="C82" s="16" t="n"/>
      <c r="D82" s="16" t="n"/>
      <c r="E82" s="16" t="n"/>
      <c r="F82" s="16" t="n"/>
      <c r="G82" s="16" t="n"/>
      <c r="H82" s="16" t="n"/>
      <c r="I82" s="16" t="n"/>
      <c r="J82" s="16" t="n"/>
      <c r="K82" s="16" t="n"/>
      <c r="L82" s="16" t="n"/>
      <c r="M82" s="16" t="n"/>
      <c r="N82" s="16" t="n"/>
      <c r="O82" s="16" t="n"/>
      <c r="P82" s="16" t="n"/>
      <c r="Q82" s="16" t="n"/>
      <c r="R82" s="16" t="n"/>
      <c r="S82" s="16" t="n"/>
      <c r="T82" s="17" t="n"/>
      <c r="U82" s="17" t="n"/>
      <c r="V82" s="103">
        <f>IF(A82="","",IF(T82&lt;&gt;1,"A数量必须=1",IF(U82&lt;1,"至少需要1个R","OK")))</f>
        <v/>
      </c>
      <c r="W82" s="16" t="n"/>
      <c r="X82" s="77" t="n"/>
      <c r="Y82" s="18" t="n"/>
    </row>
    <row r="83" ht="42" customHeight="1" s="42">
      <c r="A83" s="12" t="n"/>
      <c r="B83" s="12" t="n"/>
      <c r="C83" s="12" t="n"/>
      <c r="D83" s="12" t="n"/>
      <c r="E83" s="12" t="n"/>
      <c r="F83" s="12" t="n"/>
      <c r="G83" s="12" t="n"/>
      <c r="H83" s="12" t="n"/>
      <c r="I83" s="12" t="n"/>
      <c r="J83" s="12" t="n"/>
      <c r="K83" s="12" t="n"/>
      <c r="L83" s="12" t="n"/>
      <c r="M83" s="12" t="n"/>
      <c r="N83" s="12" t="n"/>
      <c r="O83" s="12" t="n"/>
      <c r="P83" s="12" t="n"/>
      <c r="Q83" s="12" t="n"/>
      <c r="R83" s="12" t="n"/>
      <c r="S83" s="12" t="n"/>
      <c r="T83" s="13" t="n"/>
      <c r="U83" s="13" t="n"/>
      <c r="V83" s="99">
        <f>IF(A83="","",IF(T83&lt;&gt;1,"A数量必须=1",IF(U83&lt;1,"至少需要1个R","OK")))</f>
        <v/>
      </c>
      <c r="W83" s="12" t="n"/>
      <c r="X83" s="76" t="n"/>
      <c r="Y83" s="15" t="n"/>
    </row>
    <row r="84" ht="42" customHeight="1" s="42">
      <c r="A84" s="16" t="n"/>
      <c r="B84" s="16" t="n"/>
      <c r="C84" s="16" t="n"/>
      <c r="D84" s="16" t="n"/>
      <c r="E84" s="16" t="n"/>
      <c r="F84" s="16" t="n"/>
      <c r="G84" s="16" t="n"/>
      <c r="H84" s="16" t="n"/>
      <c r="I84" s="16" t="n"/>
      <c r="J84" s="16" t="n"/>
      <c r="K84" s="16" t="n"/>
      <c r="L84" s="16" t="n"/>
      <c r="M84" s="16" t="n"/>
      <c r="N84" s="16" t="n"/>
      <c r="O84" s="16" t="n"/>
      <c r="P84" s="16" t="n"/>
      <c r="Q84" s="16" t="n"/>
      <c r="R84" s="16" t="n"/>
      <c r="S84" s="16" t="n"/>
      <c r="T84" s="17" t="n"/>
      <c r="U84" s="17" t="n"/>
      <c r="V84" s="103">
        <f>IF(A84="","",IF(T84&lt;&gt;1,"A数量必须=1",IF(U84&lt;1,"至少需要1个R","OK")))</f>
        <v/>
      </c>
      <c r="W84" s="16" t="n"/>
      <c r="X84" s="77" t="n"/>
      <c r="Y84" s="18" t="n"/>
    </row>
    <row r="85" ht="42" customHeight="1" s="42">
      <c r="A85" s="12" t="n"/>
      <c r="B85" s="12" t="n"/>
      <c r="C85" s="12" t="n"/>
      <c r="D85" s="12" t="n"/>
      <c r="E85" s="12" t="n"/>
      <c r="F85" s="12" t="n"/>
      <c r="G85" s="12" t="n"/>
      <c r="H85" s="12" t="n"/>
      <c r="I85" s="12" t="n"/>
      <c r="J85" s="12" t="n"/>
      <c r="K85" s="12" t="n"/>
      <c r="L85" s="12" t="n"/>
      <c r="M85" s="12" t="n"/>
      <c r="N85" s="12" t="n"/>
      <c r="O85" s="12" t="n"/>
      <c r="P85" s="12" t="n"/>
      <c r="Q85" s="12" t="n"/>
      <c r="R85" s="12" t="n"/>
      <c r="S85" s="12" t="n"/>
      <c r="T85" s="13" t="n"/>
      <c r="U85" s="13" t="n"/>
      <c r="V85" s="99">
        <f>IF(A85="","",IF(T85&lt;&gt;1,"A数量必须=1",IF(U85&lt;1,"至少需要1个R","OK")))</f>
        <v/>
      </c>
      <c r="W85" s="12" t="n"/>
      <c r="X85" s="76" t="n"/>
      <c r="Y85" s="15" t="n"/>
    </row>
    <row r="86" ht="42" customHeight="1" s="42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  <c r="J86" s="16" t="n"/>
      <c r="K86" s="16" t="n"/>
      <c r="L86" s="16" t="n"/>
      <c r="M86" s="16" t="n"/>
      <c r="N86" s="16" t="n"/>
      <c r="O86" s="16" t="n"/>
      <c r="P86" s="16" t="n"/>
      <c r="Q86" s="16" t="n"/>
      <c r="R86" s="16" t="n"/>
      <c r="S86" s="16" t="n"/>
      <c r="T86" s="17" t="n"/>
      <c r="U86" s="17" t="n"/>
      <c r="V86" s="103">
        <f>IF(A86="","",IF(T86&lt;&gt;1,"A数量必须=1",IF(U86&lt;1,"至少需要1个R","OK")))</f>
        <v/>
      </c>
      <c r="W86" s="16" t="n"/>
      <c r="X86" s="77" t="n"/>
      <c r="Y86" s="18" t="n"/>
    </row>
  </sheetData>
  <autoFilter ref="A4:Y86"/>
  <mergeCells count="2">
    <mergeCell ref="A2:Y2"/>
    <mergeCell ref="A1:Y1"/>
  </mergeCells>
  <conditionalFormatting sqref="G5:S86">
    <cfRule type="expression" priority="1" dxfId="0">
      <formula>G5="A"</formula>
    </cfRule>
    <cfRule type="expression" priority="2" dxfId="4">
      <formula>G5="R"</formula>
    </cfRule>
    <cfRule type="expression" priority="3" dxfId="3">
      <formula>G5="C"</formula>
    </cfRule>
    <cfRule type="expression" priority="4" dxfId="2">
      <formula>G5="I"</formula>
    </cfRule>
  </conditionalFormatting>
  <conditionalFormatting sqref="V5:V86">
    <cfRule type="expression" priority="5" dxfId="1">
      <formula>V5="OK"</formula>
    </cfRule>
    <cfRule type="expression" priority="6" dxfId="0">
      <formula>AND(V5&lt;&gt;"",V5&lt;&gt;"OK")</formula>
    </cfRule>
  </conditionalFormatting>
  <dataValidations count="2">
    <dataValidation sqref="B5:B14 B16:B86 C15" showDropDown="0" showInputMessage="0" showErrorMessage="0" allowBlank="1" errorTitle="填写值无效" error="请从下拉列表中选择标准值。" promptTitle="填写提示" prompt="请选择标准值。" type="list">
      <formula1>"经营管理,客户/订单,产品/技术,生产,模具/设备,质量,行政/人事,采购/供应商,交付,改善/审核,其他"</formula1>
    </dataValidation>
    <dataValidation sqref="G5:S86" showDropDown="0" showInputMessage="0" showErrorMessage="0" allowBlank="1" errorTitle="填写值无效" error="请从下拉列表中选择标准值。" promptTitle="填写提示" prompt="请选择标准值。" type="list">
      <formula1>"A,R,C,I,—"</formula1>
    </dataValidation>
  </dataValidations>
  <pageMargins left="0.25" right="0.25" top="0.45" bottom="0.45" header="0.5" footer="0.5"/>
  <pageSetup orientation="landscape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L62"/>
  <sheetViews>
    <sheetView showGridLines="0" zoomScale="90" zoomScaleNormal="90" workbookViewId="0">
      <selection activeCell="H12" sqref="H12"/>
    </sheetView>
  </sheetViews>
  <sheetFormatPr baseColWidth="8" defaultColWidth="9" defaultRowHeight="14.4"/>
  <cols>
    <col width="14" customWidth="1" style="42" min="1" max="1"/>
    <col width="34" customWidth="1" style="42" min="2" max="2"/>
    <col width="24" customWidth="1" style="42" min="3" max="3"/>
    <col width="14" customWidth="1" style="42" min="4" max="4"/>
    <col width="16" customWidth="1" style="42" min="5" max="5"/>
    <col width="34" customWidth="1" style="42" min="6" max="6"/>
    <col width="13" customWidth="1" style="42" min="7" max="7"/>
    <col width="30" customWidth="1" style="42" min="8" max="9"/>
    <col width="16" customWidth="1" style="42" min="10" max="10"/>
    <col width="13" customWidth="1" style="42" min="11" max="11"/>
    <col width="28" customWidth="1" style="42" min="12" max="12"/>
  </cols>
  <sheetData>
    <row r="1" ht="30" customHeight="1" s="42">
      <c r="A1" s="66" t="inlineStr">
        <is>
          <t>05｜组织架构与职责待确认清单</t>
        </is>
      </c>
    </row>
    <row r="2" ht="24" customHeight="1" s="42">
      <c r="A2" s="41" t="inlineStr">
        <is>
          <t>这里不是“意见收集箱”，而是管理层必须作出明确决定的事项清单。负责人、审批权和边界没有确认，就不能把文件树和流程固化。</t>
        </is>
      </c>
    </row>
    <row r="3" ht="8" customHeight="1" s="42"/>
    <row r="4" ht="30" customHeight="1" s="42">
      <c r="A4" s="51" t="inlineStr">
        <is>
          <t>确认编号</t>
        </is>
      </c>
      <c r="B4" s="51" t="inlineStr">
        <is>
          <t>确认事项</t>
        </is>
      </c>
      <c r="C4" s="51" t="inlineStr">
        <is>
          <t>涉及组织/岗位</t>
        </is>
      </c>
      <c r="D4" s="51" t="inlineStr">
        <is>
          <t>当前状态</t>
        </is>
      </c>
      <c r="E4" s="51" t="inlineStr">
        <is>
          <t>建议确认人</t>
        </is>
      </c>
      <c r="F4" s="51" t="inlineStr">
        <is>
          <t>确认结论</t>
        </is>
      </c>
      <c r="G4" s="51" t="inlineStr">
        <is>
          <t>生效日期</t>
        </is>
      </c>
      <c r="H4" s="51" t="inlineStr">
        <is>
          <t>证据/依据</t>
        </is>
      </c>
      <c r="I4" s="51" t="inlineStr">
        <is>
          <t>后续动作</t>
        </is>
      </c>
      <c r="J4" s="51" t="inlineStr">
        <is>
          <t>责任人</t>
        </is>
      </c>
      <c r="K4" s="51" t="inlineStr">
        <is>
          <t>截止日期</t>
        </is>
      </c>
      <c r="L4" s="51" t="inlineStr">
        <is>
          <t>备注</t>
        </is>
      </c>
    </row>
    <row r="5" ht="24" customHeight="1" s="42">
      <c r="A5" s="93" t="inlineStr">
        <is>
          <t>CONF-001</t>
        </is>
      </c>
      <c r="B5" s="93" t="inlineStr">
        <is>
          <t>补录董事长姓名、员工ID和联系方式</t>
        </is>
      </c>
      <c r="C5" s="93" t="inlineStr">
        <is>
          <t>公司治理</t>
        </is>
      </c>
      <c r="D5" s="93" t="inlineStr">
        <is>
          <t>已确认</t>
        </is>
      </c>
      <c r="E5" s="93" t="inlineStr">
        <is>
          <t>公司负责人</t>
        </is>
      </c>
      <c r="F5" s="5" t="n"/>
      <c r="G5" s="78" t="n"/>
      <c r="H5" s="93" t="inlineStr">
        <is>
          <t>原始机构图只提供岗位名称</t>
        </is>
      </c>
      <c r="I5" s="93" t="inlineStr">
        <is>
          <t>补录人员主数据</t>
        </is>
      </c>
      <c r="J5" s="93" t="inlineStr">
        <is>
          <t>待确认</t>
        </is>
      </c>
      <c r="K5" s="78" t="n"/>
      <c r="L5" s="5" t="n"/>
    </row>
    <row r="6" ht="24" customHeight="1" s="42">
      <c r="A6" s="92" t="inlineStr">
        <is>
          <t>CONF-002</t>
        </is>
      </c>
      <c r="B6" s="92" t="inlineStr">
        <is>
          <t>补录总经理姓名、员工ID和直接上级关系</t>
        </is>
      </c>
      <c r="C6" s="92" t="inlineStr">
        <is>
          <t>公司治理</t>
        </is>
      </c>
      <c r="D6" s="92" t="inlineStr">
        <is>
          <t>已确认</t>
        </is>
      </c>
      <c r="E6" s="92" t="inlineStr">
        <is>
          <t>公司负责人</t>
        </is>
      </c>
      <c r="F6" s="7" t="n"/>
      <c r="G6" s="79" t="n"/>
      <c r="H6" s="92" t="inlineStr">
        <is>
          <t>原始机构图只提供岗位名称</t>
        </is>
      </c>
      <c r="I6" s="92" t="inlineStr">
        <is>
          <t>补录人员主数据</t>
        </is>
      </c>
      <c r="J6" s="92" t="inlineStr">
        <is>
          <t>待确认</t>
        </is>
      </c>
      <c r="K6" s="79" t="n"/>
      <c r="L6" s="7" t="n"/>
    </row>
    <row r="7" ht="24" customHeight="1" s="42">
      <c r="A7" s="93" t="inlineStr">
        <is>
          <t>CONF-003</t>
        </is>
      </c>
      <c r="B7" s="93" t="inlineStr">
        <is>
          <t>确认生产部负责人及工程技术组/生产车间/模具维修组归属</t>
        </is>
      </c>
      <c r="C7" s="93" t="inlineStr">
        <is>
          <t>生产部</t>
        </is>
      </c>
      <c r="D7" s="93" t="inlineStr">
        <is>
          <t>已确认</t>
        </is>
      </c>
      <c r="E7" s="93" t="inlineStr">
        <is>
          <t>总经理</t>
        </is>
      </c>
      <c r="F7" s="5" t="n"/>
      <c r="G7" s="78" t="n"/>
      <c r="H7" s="93" t="inlineStr">
        <is>
          <t>机构图给出层级位置，未给负责人</t>
        </is>
      </c>
      <c r="I7" s="93" t="inlineStr">
        <is>
          <t>补录部门负责人和岗位</t>
        </is>
      </c>
      <c r="J7" s="93" t="inlineStr">
        <is>
          <t>待确认</t>
        </is>
      </c>
      <c r="K7" s="78" t="n"/>
      <c r="L7" s="5" t="n"/>
    </row>
    <row r="8" ht="24" customHeight="1" s="42">
      <c r="A8" s="93" t="inlineStr">
        <is>
          <t>CONF-005</t>
        </is>
      </c>
      <c r="B8" s="93" t="inlineStr">
        <is>
          <t>确认运营部负责人及业务、采购组、仓储组归属</t>
        </is>
      </c>
      <c r="C8" s="93" t="inlineStr">
        <is>
          <t>运营部</t>
        </is>
      </c>
      <c r="D8" s="93" t="inlineStr">
        <is>
          <t>已确认</t>
        </is>
      </c>
      <c r="E8" s="93" t="inlineStr">
        <is>
          <t>总经理</t>
        </is>
      </c>
      <c r="F8" s="5" t="n"/>
      <c r="G8" s="78" t="n"/>
      <c r="H8" s="93" t="inlineStr">
        <is>
          <t>机构图给出层级位置，未给职责边界</t>
        </is>
      </c>
      <c r="I8" s="93" t="inlineStr">
        <is>
          <t>建立运营职责矩阵</t>
        </is>
      </c>
      <c r="J8" s="93" t="inlineStr">
        <is>
          <t>待确认</t>
        </is>
      </c>
      <c r="K8" s="78" t="n"/>
      <c r="L8" s="5" t="n"/>
    </row>
    <row r="9" ht="24" customHeight="1" s="42">
      <c r="A9" s="92" t="inlineStr">
        <is>
          <t>CONF-006</t>
        </is>
      </c>
      <c r="B9" s="92" t="inlineStr">
        <is>
          <t>确认行政部负责人及人事、后勤归属</t>
        </is>
      </c>
      <c r="C9" s="92" t="inlineStr">
        <is>
          <t>行政部</t>
        </is>
      </c>
      <c r="D9" s="92" t="inlineStr">
        <is>
          <t>已确认</t>
        </is>
      </c>
      <c r="E9" s="92" t="inlineStr">
        <is>
          <t>总经理</t>
        </is>
      </c>
      <c r="F9" s="7" t="n"/>
      <c r="G9" s="79" t="n"/>
      <c r="H9" s="92" t="inlineStr">
        <is>
          <t>机构图给出层级位置，未给负责人</t>
        </is>
      </c>
      <c r="I9" s="92" t="inlineStr">
        <is>
          <t>建立行政职责矩阵</t>
        </is>
      </c>
      <c r="J9" s="92" t="inlineStr">
        <is>
          <t>待确认</t>
        </is>
      </c>
      <c r="K9" s="79" t="n"/>
      <c r="L9" s="7" t="n"/>
    </row>
    <row r="10" ht="24" customHeight="1" s="42">
      <c r="A10" s="93" t="inlineStr">
        <is>
          <t>CONF-007</t>
        </is>
      </c>
      <c r="B10" s="93" t="inlineStr">
        <is>
          <t>确认财务部负责人及会计、出纳复核/审批关系</t>
        </is>
      </c>
      <c r="C10" s="93" t="inlineStr">
        <is>
          <t>财务部</t>
        </is>
      </c>
      <c r="D10" s="93" t="inlineStr">
        <is>
          <t>已确认</t>
        </is>
      </c>
      <c r="E10" s="93" t="inlineStr">
        <is>
          <t>董事长/总经理</t>
        </is>
      </c>
      <c r="F10" s="5" t="n"/>
      <c r="G10" s="78" t="n"/>
      <c r="H10" s="93" t="inlineStr">
        <is>
          <t>机构图只列会计、出纳单元</t>
        </is>
      </c>
      <c r="I10" s="93" t="inlineStr">
        <is>
          <t>建立财务授权矩阵</t>
        </is>
      </c>
      <c r="J10" s="93" t="inlineStr">
        <is>
          <t>待确认</t>
        </is>
      </c>
      <c r="K10" s="78" t="n"/>
      <c r="L10" s="5" t="n"/>
    </row>
    <row r="11" ht="24" customHeight="1" s="42">
      <c r="A11" s="92" t="inlineStr">
        <is>
          <t>CONF-008</t>
        </is>
      </c>
      <c r="B11" s="92" t="inlineStr">
        <is>
          <t>确认董事长与总经理的直接汇报及授权关系</t>
        </is>
      </c>
      <c r="C11" s="92" t="inlineStr">
        <is>
          <t>公司治理</t>
        </is>
      </c>
      <c r="D11" s="92" t="inlineStr">
        <is>
          <t>已确认</t>
        </is>
      </c>
      <c r="E11" s="92" t="inlineStr">
        <is>
          <t>董事长</t>
        </is>
      </c>
      <c r="F11" s="7" t="n"/>
      <c r="G11" s="79" t="n"/>
      <c r="H11" s="92" t="inlineStr">
        <is>
          <t>机构图体现上下级位置但未说明授权边界</t>
        </is>
      </c>
      <c r="I11" s="92" t="inlineStr">
        <is>
          <t>填写汇报与审批关系</t>
        </is>
      </c>
      <c r="J11" s="92" t="inlineStr">
        <is>
          <t>待确认</t>
        </is>
      </c>
      <c r="K11" s="79" t="n"/>
      <c r="L11" s="7" t="n"/>
    </row>
    <row r="12" ht="24" customHeight="1" s="42">
      <c r="A12" s="93" t="inlineStr">
        <is>
          <t>CONF-009</t>
        </is>
      </c>
      <c r="B12" s="93" t="inlineStr">
        <is>
          <t>确认质量管理体系职责由哪个现有岗位/人员承担（不是新增岗位）</t>
        </is>
      </c>
      <c r="C12" s="93" t="inlineStr">
        <is>
          <t>品质部/总经理</t>
        </is>
      </c>
      <c r="D12" s="93" t="inlineStr">
        <is>
          <t>已确认</t>
        </is>
      </c>
      <c r="E12" s="93" t="inlineStr">
        <is>
          <t>总经理</t>
        </is>
      </c>
      <c r="F12" s="5" t="n"/>
      <c r="G12" s="78" t="n"/>
      <c r="H12" s="93" t="inlineStr">
        <is>
          <t>附件3提出管理者代表职责，但公司当前组织机构图未列此岗位；按用户确认不作为岗位名称</t>
        </is>
      </c>
      <c r="I12" s="93" t="inlineStr">
        <is>
          <t>在RACI中配置质量体系职责，不新增岗位</t>
        </is>
      </c>
      <c r="J12" s="93" t="inlineStr">
        <is>
          <t>待确认</t>
        </is>
      </c>
      <c r="K12" s="78" t="n"/>
      <c r="L12" s="5" t="n"/>
    </row>
    <row r="13" ht="24" customHeight="1" s="42">
      <c r="A13" s="93" t="inlineStr">
        <is>
          <t>CONF-011</t>
        </is>
      </c>
      <c r="B13" s="93" t="inlineStr">
        <is>
          <t>确认生产部、品质部、行政部职责说明中的权限边界</t>
        </is>
      </c>
      <c r="C13" s="93" t="inlineStr">
        <is>
          <t>生产部/品质部/行政部</t>
        </is>
      </c>
      <c r="D13" s="93" t="inlineStr">
        <is>
          <t>未确认</t>
        </is>
      </c>
      <c r="E13" s="93" t="inlineStr">
        <is>
          <t>总经理</t>
        </is>
      </c>
      <c r="F13" s="5" t="n"/>
      <c r="G13" s="78" t="n"/>
      <c r="H13" s="93" t="inlineStr">
        <is>
          <t>附件3给出职责，但多数权限未写明批准人</t>
        </is>
      </c>
      <c r="I13" s="93" t="inlineStr">
        <is>
          <t>补录RACI和授权矩阵</t>
        </is>
      </c>
      <c r="J13" s="93" t="inlineStr">
        <is>
          <t>待确认</t>
        </is>
      </c>
      <c r="K13" s="78" t="n"/>
      <c r="L13" s="5" t="n"/>
    </row>
    <row r="14" ht="24" customHeight="1" s="42">
      <c r="A14" s="7" t="n"/>
      <c r="B14" s="7" t="n"/>
      <c r="C14" s="7" t="n"/>
      <c r="D14" s="7" t="n"/>
      <c r="E14" s="7" t="n"/>
      <c r="F14" s="7" t="n"/>
      <c r="G14" s="79" t="n"/>
      <c r="H14" s="7" t="n"/>
      <c r="I14" s="7" t="n"/>
      <c r="J14" s="7" t="n"/>
      <c r="K14" s="79" t="n"/>
      <c r="L14" s="7" t="n"/>
    </row>
    <row r="15" ht="24" customHeight="1" s="42">
      <c r="A15" s="5" t="n"/>
      <c r="B15" s="5" t="n"/>
      <c r="C15" s="5" t="n"/>
      <c r="D15" s="5" t="n"/>
      <c r="E15" s="5" t="n"/>
      <c r="F15" s="5" t="n"/>
      <c r="G15" s="78" t="n"/>
      <c r="H15" s="5" t="n"/>
      <c r="I15" s="5" t="n"/>
      <c r="J15" s="5" t="n"/>
      <c r="K15" s="78" t="n"/>
      <c r="L15" s="5" t="n"/>
    </row>
    <row r="16" ht="24" customHeight="1" s="42">
      <c r="A16" s="7" t="n"/>
      <c r="B16" s="7" t="n"/>
      <c r="C16" s="7" t="n"/>
      <c r="D16" s="7" t="n"/>
      <c r="E16" s="7" t="n"/>
      <c r="F16" s="7" t="n"/>
      <c r="G16" s="79" t="n"/>
      <c r="H16" s="7" t="n"/>
      <c r="I16" s="7" t="n"/>
      <c r="J16" s="7" t="n"/>
      <c r="K16" s="79" t="n"/>
      <c r="L16" s="7" t="n"/>
    </row>
    <row r="17" ht="24" customHeight="1" s="42">
      <c r="A17" s="5" t="n"/>
      <c r="B17" s="5" t="n"/>
      <c r="C17" s="5" t="n"/>
      <c r="D17" s="5" t="n"/>
      <c r="E17" s="5" t="n"/>
      <c r="F17" s="5" t="n"/>
      <c r="G17" s="78" t="n"/>
      <c r="H17" s="5" t="n"/>
      <c r="I17" s="5" t="n"/>
      <c r="J17" s="5" t="n"/>
      <c r="K17" s="78" t="n"/>
      <c r="L17" s="5" t="n"/>
    </row>
    <row r="18" ht="24" customHeight="1" s="42">
      <c r="A18" s="7" t="n"/>
      <c r="B18" s="7" t="n"/>
      <c r="C18" s="7" t="n"/>
      <c r="D18" s="7" t="n"/>
      <c r="E18" s="7" t="n"/>
      <c r="F18" s="7" t="n"/>
      <c r="G18" s="79" t="n"/>
      <c r="H18" s="7" t="n"/>
      <c r="I18" s="7" t="n"/>
      <c r="J18" s="7" t="n"/>
      <c r="K18" s="79" t="n"/>
      <c r="L18" s="7" t="n"/>
    </row>
    <row r="19" ht="24" customHeight="1" s="42">
      <c r="A19" s="5" t="n"/>
      <c r="B19" s="5" t="n"/>
      <c r="C19" s="5" t="n"/>
      <c r="D19" s="5" t="n"/>
      <c r="E19" s="5" t="n"/>
      <c r="F19" s="5" t="n"/>
      <c r="G19" s="78" t="n"/>
      <c r="H19" s="5" t="n"/>
      <c r="I19" s="5" t="n"/>
      <c r="J19" s="5" t="n"/>
      <c r="K19" s="78" t="n"/>
      <c r="L19" s="5" t="n"/>
    </row>
    <row r="20" ht="24" customHeight="1" s="42">
      <c r="A20" s="7" t="n"/>
      <c r="B20" s="7" t="n"/>
      <c r="C20" s="7" t="n"/>
      <c r="D20" s="7" t="n"/>
      <c r="E20" s="7" t="n"/>
      <c r="F20" s="7" t="n"/>
      <c r="G20" s="79" t="n"/>
      <c r="H20" s="7" t="n"/>
      <c r="I20" s="7" t="n"/>
      <c r="J20" s="7" t="n"/>
      <c r="K20" s="79" t="n"/>
      <c r="L20" s="7" t="n"/>
    </row>
    <row r="21" ht="24" customHeight="1" s="42">
      <c r="A21" s="5" t="n"/>
      <c r="B21" s="5" t="n"/>
      <c r="C21" s="5" t="n"/>
      <c r="D21" s="5" t="n"/>
      <c r="E21" s="5" t="n"/>
      <c r="F21" s="5" t="n"/>
      <c r="G21" s="78" t="n"/>
      <c r="H21" s="5" t="n"/>
      <c r="I21" s="5" t="n"/>
      <c r="J21" s="5" t="n"/>
      <c r="K21" s="78" t="n"/>
      <c r="L21" s="5" t="n"/>
    </row>
    <row r="22" ht="24" customHeight="1" s="42">
      <c r="A22" s="7" t="n"/>
      <c r="B22" s="7" t="n"/>
      <c r="C22" s="7" t="n"/>
      <c r="D22" s="7" t="n"/>
      <c r="E22" s="7" t="n"/>
      <c r="F22" s="7" t="n"/>
      <c r="G22" s="79" t="n"/>
      <c r="H22" s="7" t="n"/>
      <c r="I22" s="7" t="n"/>
      <c r="J22" s="7" t="n"/>
      <c r="K22" s="79" t="n"/>
      <c r="L22" s="7" t="n"/>
    </row>
    <row r="23" ht="24" customHeight="1" s="42">
      <c r="A23" s="5" t="n"/>
      <c r="B23" s="5" t="n"/>
      <c r="C23" s="5" t="n"/>
      <c r="D23" s="5" t="n"/>
      <c r="E23" s="5" t="n"/>
      <c r="F23" s="5" t="n"/>
      <c r="G23" s="78" t="n"/>
      <c r="H23" s="5" t="n"/>
      <c r="I23" s="5" t="n"/>
      <c r="J23" s="5" t="n"/>
      <c r="K23" s="78" t="n"/>
      <c r="L23" s="5" t="n"/>
    </row>
    <row r="24" ht="24" customHeight="1" s="42">
      <c r="A24" s="7" t="n"/>
      <c r="B24" s="7" t="n"/>
      <c r="C24" s="7" t="n"/>
      <c r="D24" s="7" t="n"/>
      <c r="E24" s="7" t="n"/>
      <c r="F24" s="7" t="n"/>
      <c r="G24" s="79" t="n"/>
      <c r="H24" s="7" t="n"/>
      <c r="I24" s="7" t="n"/>
      <c r="J24" s="7" t="n"/>
      <c r="K24" s="79" t="n"/>
      <c r="L24" s="7" t="n"/>
    </row>
    <row r="25" ht="24" customHeight="1" s="42">
      <c r="A25" s="5" t="n"/>
      <c r="B25" s="5" t="n"/>
      <c r="C25" s="5" t="n"/>
      <c r="D25" s="5" t="n"/>
      <c r="E25" s="5" t="n"/>
      <c r="F25" s="5" t="n"/>
      <c r="G25" s="78" t="n"/>
      <c r="H25" s="5" t="n"/>
      <c r="I25" s="5" t="n"/>
      <c r="J25" s="5" t="n"/>
      <c r="K25" s="78" t="n"/>
      <c r="L25" s="5" t="n"/>
    </row>
    <row r="26" ht="24" customHeight="1" s="42">
      <c r="A26" s="7" t="n"/>
      <c r="B26" s="7" t="n"/>
      <c r="C26" s="7" t="n"/>
      <c r="D26" s="7" t="n"/>
      <c r="E26" s="7" t="n"/>
      <c r="F26" s="7" t="n"/>
      <c r="G26" s="79" t="n"/>
      <c r="H26" s="7" t="n"/>
      <c r="I26" s="7" t="n"/>
      <c r="J26" s="7" t="n"/>
      <c r="K26" s="79" t="n"/>
      <c r="L26" s="7" t="n"/>
    </row>
    <row r="27" ht="24" customHeight="1" s="42">
      <c r="A27" s="5" t="n"/>
      <c r="B27" s="5" t="n"/>
      <c r="C27" s="5" t="n"/>
      <c r="D27" s="5" t="n"/>
      <c r="E27" s="5" t="n"/>
      <c r="F27" s="5" t="n"/>
      <c r="G27" s="78" t="n"/>
      <c r="H27" s="5" t="n"/>
      <c r="I27" s="5" t="n"/>
      <c r="J27" s="5" t="n"/>
      <c r="K27" s="78" t="n"/>
      <c r="L27" s="5" t="n"/>
    </row>
    <row r="28" ht="24" customHeight="1" s="42">
      <c r="A28" s="7" t="n"/>
      <c r="B28" s="7" t="n"/>
      <c r="C28" s="7" t="n"/>
      <c r="D28" s="7" t="n"/>
      <c r="E28" s="7" t="n"/>
      <c r="F28" s="7" t="n"/>
      <c r="G28" s="79" t="n"/>
      <c r="H28" s="7" t="n"/>
      <c r="I28" s="7" t="n"/>
      <c r="J28" s="7" t="n"/>
      <c r="K28" s="79" t="n"/>
      <c r="L28" s="7" t="n"/>
    </row>
    <row r="29" ht="24" customHeight="1" s="42">
      <c r="A29" s="5" t="n"/>
      <c r="B29" s="5" t="n"/>
      <c r="C29" s="5" t="n"/>
      <c r="D29" s="5" t="n"/>
      <c r="E29" s="5" t="n"/>
      <c r="F29" s="5" t="n"/>
      <c r="G29" s="78" t="n"/>
      <c r="H29" s="5" t="n"/>
      <c r="I29" s="5" t="n"/>
      <c r="J29" s="5" t="n"/>
      <c r="K29" s="78" t="n"/>
      <c r="L29" s="5" t="n"/>
    </row>
    <row r="30" ht="24" customHeight="1" s="42">
      <c r="A30" s="7" t="n"/>
      <c r="B30" s="7" t="n"/>
      <c r="C30" s="7" t="n"/>
      <c r="D30" s="7" t="n"/>
      <c r="E30" s="7" t="n"/>
      <c r="F30" s="7" t="n"/>
      <c r="G30" s="79" t="n"/>
      <c r="H30" s="7" t="n"/>
      <c r="I30" s="7" t="n"/>
      <c r="J30" s="7" t="n"/>
      <c r="K30" s="79" t="n"/>
      <c r="L30" s="7" t="n"/>
    </row>
    <row r="31" ht="24" customHeight="1" s="42">
      <c r="A31" s="5" t="n"/>
      <c r="B31" s="5" t="n"/>
      <c r="C31" s="5" t="n"/>
      <c r="D31" s="5" t="n"/>
      <c r="E31" s="5" t="n"/>
      <c r="F31" s="5" t="n"/>
      <c r="G31" s="78" t="n"/>
      <c r="H31" s="5" t="n"/>
      <c r="I31" s="5" t="n"/>
      <c r="J31" s="5" t="n"/>
      <c r="K31" s="78" t="n"/>
      <c r="L31" s="5" t="n"/>
    </row>
    <row r="32" ht="24" customHeight="1" s="42">
      <c r="A32" s="7" t="n"/>
      <c r="B32" s="7" t="n"/>
      <c r="C32" s="7" t="n"/>
      <c r="D32" s="7" t="n"/>
      <c r="E32" s="7" t="n"/>
      <c r="F32" s="7" t="n"/>
      <c r="G32" s="79" t="n"/>
      <c r="H32" s="7" t="n"/>
      <c r="I32" s="7" t="n"/>
      <c r="J32" s="7" t="n"/>
      <c r="K32" s="79" t="n"/>
      <c r="L32" s="7" t="n"/>
    </row>
    <row r="33" ht="24" customHeight="1" s="42">
      <c r="A33" s="5" t="n"/>
      <c r="B33" s="5" t="n"/>
      <c r="C33" s="5" t="n"/>
      <c r="D33" s="5" t="n"/>
      <c r="E33" s="5" t="n"/>
      <c r="F33" s="5" t="n"/>
      <c r="G33" s="78" t="n"/>
      <c r="H33" s="5" t="n"/>
      <c r="I33" s="5" t="n"/>
      <c r="J33" s="5" t="n"/>
      <c r="K33" s="78" t="n"/>
      <c r="L33" s="5" t="n"/>
    </row>
    <row r="34" ht="24" customHeight="1" s="42">
      <c r="A34" s="7" t="n"/>
      <c r="B34" s="7" t="n"/>
      <c r="C34" s="7" t="n"/>
      <c r="D34" s="7" t="n"/>
      <c r="E34" s="7" t="n"/>
      <c r="F34" s="7" t="n"/>
      <c r="G34" s="79" t="n"/>
      <c r="H34" s="7" t="n"/>
      <c r="I34" s="7" t="n"/>
      <c r="J34" s="7" t="n"/>
      <c r="K34" s="79" t="n"/>
      <c r="L34" s="7" t="n"/>
    </row>
    <row r="35" ht="24" customHeight="1" s="42">
      <c r="A35" s="5" t="n"/>
      <c r="B35" s="5" t="n"/>
      <c r="C35" s="5" t="n"/>
      <c r="D35" s="5" t="n"/>
      <c r="E35" s="5" t="n"/>
      <c r="F35" s="5" t="n"/>
      <c r="G35" s="78" t="n"/>
      <c r="H35" s="5" t="n"/>
      <c r="I35" s="5" t="n"/>
      <c r="J35" s="5" t="n"/>
      <c r="K35" s="78" t="n"/>
      <c r="L35" s="5" t="n"/>
    </row>
    <row r="36" ht="24" customHeight="1" s="42">
      <c r="A36" s="7" t="n"/>
      <c r="B36" s="7" t="n"/>
      <c r="C36" s="7" t="n"/>
      <c r="D36" s="7" t="n"/>
      <c r="E36" s="7" t="n"/>
      <c r="F36" s="7" t="n"/>
      <c r="G36" s="79" t="n"/>
      <c r="H36" s="7" t="n"/>
      <c r="I36" s="7" t="n"/>
      <c r="J36" s="7" t="n"/>
      <c r="K36" s="79" t="n"/>
      <c r="L36" s="7" t="n"/>
    </row>
    <row r="37" ht="24" customHeight="1" s="42">
      <c r="A37" s="5" t="n"/>
      <c r="B37" s="5" t="n"/>
      <c r="C37" s="5" t="n"/>
      <c r="D37" s="5" t="n"/>
      <c r="E37" s="5" t="n"/>
      <c r="F37" s="5" t="n"/>
      <c r="G37" s="78" t="n"/>
      <c r="H37" s="5" t="n"/>
      <c r="I37" s="5" t="n"/>
      <c r="J37" s="5" t="n"/>
      <c r="K37" s="78" t="n"/>
      <c r="L37" s="5" t="n"/>
    </row>
    <row r="38" ht="24" customHeight="1" s="42">
      <c r="A38" s="7" t="n"/>
      <c r="B38" s="7" t="n"/>
      <c r="C38" s="7" t="n"/>
      <c r="D38" s="7" t="n"/>
      <c r="E38" s="7" t="n"/>
      <c r="F38" s="7" t="n"/>
      <c r="G38" s="79" t="n"/>
      <c r="H38" s="7" t="n"/>
      <c r="I38" s="7" t="n"/>
      <c r="J38" s="7" t="n"/>
      <c r="K38" s="79" t="n"/>
      <c r="L38" s="7" t="n"/>
    </row>
    <row r="39" ht="24" customHeight="1" s="42">
      <c r="A39" s="5" t="n"/>
      <c r="B39" s="5" t="n"/>
      <c r="C39" s="5" t="n"/>
      <c r="D39" s="5" t="n"/>
      <c r="E39" s="5" t="n"/>
      <c r="F39" s="5" t="n"/>
      <c r="G39" s="78" t="n"/>
      <c r="H39" s="5" t="n"/>
      <c r="I39" s="5" t="n"/>
      <c r="J39" s="5" t="n"/>
      <c r="K39" s="78" t="n"/>
      <c r="L39" s="5" t="n"/>
    </row>
    <row r="40" ht="24" customHeight="1" s="42">
      <c r="A40" s="7" t="n"/>
      <c r="B40" s="7" t="n"/>
      <c r="C40" s="7" t="n"/>
      <c r="D40" s="7" t="n"/>
      <c r="E40" s="7" t="n"/>
      <c r="F40" s="7" t="n"/>
      <c r="G40" s="79" t="n"/>
      <c r="H40" s="7" t="n"/>
      <c r="I40" s="7" t="n"/>
      <c r="J40" s="7" t="n"/>
      <c r="K40" s="79" t="n"/>
      <c r="L40" s="7" t="n"/>
    </row>
    <row r="41" ht="24" customHeight="1" s="42">
      <c r="A41" s="5" t="n"/>
      <c r="B41" s="5" t="n"/>
      <c r="C41" s="5" t="n"/>
      <c r="D41" s="5" t="n"/>
      <c r="E41" s="5" t="n"/>
      <c r="F41" s="5" t="n"/>
      <c r="G41" s="78" t="n"/>
      <c r="H41" s="5" t="n"/>
      <c r="I41" s="5" t="n"/>
      <c r="J41" s="5" t="n"/>
      <c r="K41" s="78" t="n"/>
      <c r="L41" s="5" t="n"/>
    </row>
    <row r="42" ht="24" customHeight="1" s="42">
      <c r="A42" s="7" t="n"/>
      <c r="B42" s="7" t="n"/>
      <c r="C42" s="7" t="n"/>
      <c r="D42" s="7" t="n"/>
      <c r="E42" s="7" t="n"/>
      <c r="F42" s="7" t="n"/>
      <c r="G42" s="79" t="n"/>
      <c r="H42" s="7" t="n"/>
      <c r="I42" s="7" t="n"/>
      <c r="J42" s="7" t="n"/>
      <c r="K42" s="79" t="n"/>
      <c r="L42" s="7" t="n"/>
    </row>
    <row r="43" ht="24" customHeight="1" s="42">
      <c r="A43" s="5" t="n"/>
      <c r="B43" s="5" t="n"/>
      <c r="C43" s="5" t="n"/>
      <c r="D43" s="5" t="n"/>
      <c r="E43" s="5" t="n"/>
      <c r="F43" s="5" t="n"/>
      <c r="G43" s="78" t="n"/>
      <c r="H43" s="5" t="n"/>
      <c r="I43" s="5" t="n"/>
      <c r="J43" s="5" t="n"/>
      <c r="K43" s="78" t="n"/>
      <c r="L43" s="5" t="n"/>
    </row>
    <row r="44" ht="24" customHeight="1" s="42">
      <c r="A44" s="7" t="n"/>
      <c r="B44" s="7" t="n"/>
      <c r="C44" s="7" t="n"/>
      <c r="D44" s="7" t="n"/>
      <c r="E44" s="7" t="n"/>
      <c r="F44" s="7" t="n"/>
      <c r="G44" s="79" t="n"/>
      <c r="H44" s="7" t="n"/>
      <c r="I44" s="7" t="n"/>
      <c r="J44" s="7" t="n"/>
      <c r="K44" s="79" t="n"/>
      <c r="L44" s="7" t="n"/>
    </row>
    <row r="45" ht="24" customHeight="1" s="42">
      <c r="A45" s="5" t="n"/>
      <c r="B45" s="5" t="n"/>
      <c r="C45" s="5" t="n"/>
      <c r="D45" s="5" t="n"/>
      <c r="E45" s="5" t="n"/>
      <c r="F45" s="5" t="n"/>
      <c r="G45" s="78" t="n"/>
      <c r="H45" s="5" t="n"/>
      <c r="I45" s="5" t="n"/>
      <c r="J45" s="5" t="n"/>
      <c r="K45" s="78" t="n"/>
      <c r="L45" s="5" t="n"/>
    </row>
    <row r="46" ht="24" customHeight="1" s="42">
      <c r="A46" s="7" t="n"/>
      <c r="B46" s="7" t="n"/>
      <c r="C46" s="7" t="n"/>
      <c r="D46" s="7" t="n"/>
      <c r="E46" s="7" t="n"/>
      <c r="F46" s="7" t="n"/>
      <c r="G46" s="79" t="n"/>
      <c r="H46" s="7" t="n"/>
      <c r="I46" s="7" t="n"/>
      <c r="J46" s="7" t="n"/>
      <c r="K46" s="79" t="n"/>
      <c r="L46" s="7" t="n"/>
    </row>
    <row r="47" ht="24" customHeight="1" s="42">
      <c r="A47" s="5" t="n"/>
      <c r="B47" s="5" t="n"/>
      <c r="C47" s="5" t="n"/>
      <c r="D47" s="5" t="n"/>
      <c r="E47" s="5" t="n"/>
      <c r="F47" s="5" t="n"/>
      <c r="G47" s="78" t="n"/>
      <c r="H47" s="5" t="n"/>
      <c r="I47" s="5" t="n"/>
      <c r="J47" s="5" t="n"/>
      <c r="K47" s="78" t="n"/>
      <c r="L47" s="5" t="n"/>
    </row>
    <row r="48" ht="24" customHeight="1" s="42">
      <c r="A48" s="7" t="n"/>
      <c r="B48" s="7" t="n"/>
      <c r="C48" s="7" t="n"/>
      <c r="D48" s="7" t="n"/>
      <c r="E48" s="7" t="n"/>
      <c r="F48" s="7" t="n"/>
      <c r="G48" s="79" t="n"/>
      <c r="H48" s="7" t="n"/>
      <c r="I48" s="7" t="n"/>
      <c r="J48" s="7" t="n"/>
      <c r="K48" s="79" t="n"/>
      <c r="L48" s="7" t="n"/>
    </row>
    <row r="49" ht="24" customHeight="1" s="42">
      <c r="A49" s="5" t="n"/>
      <c r="B49" s="5" t="n"/>
      <c r="C49" s="5" t="n"/>
      <c r="D49" s="5" t="n"/>
      <c r="E49" s="5" t="n"/>
      <c r="F49" s="5" t="n"/>
      <c r="G49" s="78" t="n"/>
      <c r="H49" s="5" t="n"/>
      <c r="I49" s="5" t="n"/>
      <c r="J49" s="5" t="n"/>
      <c r="K49" s="78" t="n"/>
      <c r="L49" s="5" t="n"/>
    </row>
    <row r="50" ht="24" customHeight="1" s="42">
      <c r="A50" s="7" t="n"/>
      <c r="B50" s="7" t="n"/>
      <c r="C50" s="7" t="n"/>
      <c r="D50" s="7" t="n"/>
      <c r="E50" s="7" t="n"/>
      <c r="F50" s="7" t="n"/>
      <c r="G50" s="79" t="n"/>
      <c r="H50" s="7" t="n"/>
      <c r="I50" s="7" t="n"/>
      <c r="J50" s="7" t="n"/>
      <c r="K50" s="79" t="n"/>
      <c r="L50" s="7" t="n"/>
    </row>
    <row r="51" ht="24" customHeight="1" s="42">
      <c r="A51" s="5" t="n"/>
      <c r="B51" s="5" t="n"/>
      <c r="C51" s="5" t="n"/>
      <c r="D51" s="5" t="n"/>
      <c r="E51" s="5" t="n"/>
      <c r="F51" s="5" t="n"/>
      <c r="G51" s="78" t="n"/>
      <c r="H51" s="5" t="n"/>
      <c r="I51" s="5" t="n"/>
      <c r="J51" s="5" t="n"/>
      <c r="K51" s="78" t="n"/>
      <c r="L51" s="5" t="n"/>
    </row>
    <row r="52" ht="24" customHeight="1" s="42">
      <c r="A52" s="7" t="n"/>
      <c r="B52" s="7" t="n"/>
      <c r="C52" s="7" t="n"/>
      <c r="D52" s="7" t="n"/>
      <c r="E52" s="7" t="n"/>
      <c r="F52" s="7" t="n"/>
      <c r="G52" s="79" t="n"/>
      <c r="H52" s="7" t="n"/>
      <c r="I52" s="7" t="n"/>
      <c r="J52" s="7" t="n"/>
      <c r="K52" s="79" t="n"/>
      <c r="L52" s="7" t="n"/>
    </row>
    <row r="53" ht="24" customHeight="1" s="42">
      <c r="A53" s="5" t="n"/>
      <c r="B53" s="5" t="n"/>
      <c r="C53" s="5" t="n"/>
      <c r="D53" s="5" t="n"/>
      <c r="E53" s="5" t="n"/>
      <c r="F53" s="5" t="n"/>
      <c r="G53" s="78" t="n"/>
      <c r="H53" s="5" t="n"/>
      <c r="I53" s="5" t="n"/>
      <c r="J53" s="5" t="n"/>
      <c r="K53" s="78" t="n"/>
      <c r="L53" s="5" t="n"/>
    </row>
    <row r="54" ht="24" customHeight="1" s="42">
      <c r="A54" s="7" t="n"/>
      <c r="B54" s="7" t="n"/>
      <c r="C54" s="7" t="n"/>
      <c r="D54" s="7" t="n"/>
      <c r="E54" s="7" t="n"/>
      <c r="F54" s="7" t="n"/>
      <c r="G54" s="79" t="n"/>
      <c r="H54" s="7" t="n"/>
      <c r="I54" s="7" t="n"/>
      <c r="J54" s="7" t="n"/>
      <c r="K54" s="79" t="n"/>
      <c r="L54" s="7" t="n"/>
    </row>
    <row r="55" ht="24" customHeight="1" s="42">
      <c r="A55" s="5" t="n"/>
      <c r="B55" s="5" t="n"/>
      <c r="C55" s="5" t="n"/>
      <c r="D55" s="5" t="n"/>
      <c r="E55" s="5" t="n"/>
      <c r="F55" s="5" t="n"/>
      <c r="G55" s="78" t="n"/>
      <c r="H55" s="5" t="n"/>
      <c r="I55" s="5" t="n"/>
      <c r="J55" s="5" t="n"/>
      <c r="K55" s="78" t="n"/>
      <c r="L55" s="5" t="n"/>
    </row>
    <row r="56" ht="24" customHeight="1" s="42">
      <c r="A56" s="7" t="n"/>
      <c r="B56" s="7" t="n"/>
      <c r="C56" s="7" t="n"/>
      <c r="D56" s="7" t="n"/>
      <c r="E56" s="7" t="n"/>
      <c r="F56" s="7" t="n"/>
      <c r="G56" s="79" t="n"/>
      <c r="H56" s="7" t="n"/>
      <c r="I56" s="7" t="n"/>
      <c r="J56" s="7" t="n"/>
      <c r="K56" s="79" t="n"/>
      <c r="L56" s="7" t="n"/>
    </row>
    <row r="57" ht="24" customHeight="1" s="42">
      <c r="A57" s="5" t="n"/>
      <c r="B57" s="5" t="n"/>
      <c r="C57" s="5" t="n"/>
      <c r="D57" s="5" t="n"/>
      <c r="E57" s="5" t="n"/>
      <c r="F57" s="5" t="n"/>
      <c r="G57" s="78" t="n"/>
      <c r="H57" s="5" t="n"/>
      <c r="I57" s="5" t="n"/>
      <c r="J57" s="5" t="n"/>
      <c r="K57" s="78" t="n"/>
      <c r="L57" s="5" t="n"/>
    </row>
    <row r="58" ht="24" customHeight="1" s="42">
      <c r="A58" s="7" t="n"/>
      <c r="B58" s="7" t="n"/>
      <c r="C58" s="7" t="n"/>
      <c r="D58" s="7" t="n"/>
      <c r="E58" s="7" t="n"/>
      <c r="F58" s="7" t="n"/>
      <c r="G58" s="79" t="n"/>
      <c r="H58" s="7" t="n"/>
      <c r="I58" s="7" t="n"/>
      <c r="J58" s="7" t="n"/>
      <c r="K58" s="79" t="n"/>
      <c r="L58" s="7" t="n"/>
    </row>
    <row r="59" ht="24" customHeight="1" s="42">
      <c r="A59" s="5" t="n"/>
      <c r="B59" s="5" t="n"/>
      <c r="C59" s="5" t="n"/>
      <c r="D59" s="5" t="n"/>
      <c r="E59" s="5" t="n"/>
      <c r="F59" s="5" t="n"/>
      <c r="G59" s="78" t="n"/>
      <c r="H59" s="5" t="n"/>
      <c r="I59" s="5" t="n"/>
      <c r="J59" s="5" t="n"/>
      <c r="K59" s="78" t="n"/>
      <c r="L59" s="5" t="n"/>
    </row>
    <row r="60" ht="24" customHeight="1" s="42">
      <c r="A60" s="7" t="n"/>
      <c r="B60" s="7" t="n"/>
      <c r="C60" s="7" t="n"/>
      <c r="D60" s="7" t="n"/>
      <c r="E60" s="7" t="n"/>
      <c r="F60" s="7" t="n"/>
      <c r="G60" s="79" t="n"/>
      <c r="H60" s="7" t="n"/>
      <c r="I60" s="7" t="n"/>
      <c r="J60" s="7" t="n"/>
      <c r="K60" s="79" t="n"/>
      <c r="L60" s="7" t="n"/>
    </row>
    <row r="61" ht="24" customHeight="1" s="42">
      <c r="A61" s="5" t="n"/>
      <c r="B61" s="5" t="n"/>
      <c r="C61" s="5" t="n"/>
      <c r="D61" s="5" t="n"/>
      <c r="E61" s="5" t="n"/>
      <c r="F61" s="5" t="n"/>
      <c r="G61" s="78" t="n"/>
      <c r="H61" s="5" t="n"/>
      <c r="I61" s="5" t="n"/>
      <c r="J61" s="5" t="n"/>
      <c r="K61" s="78" t="n"/>
      <c r="L61" s="5" t="n"/>
    </row>
    <row r="62" ht="24" customHeight="1" s="42">
      <c r="A62" s="7" t="n"/>
      <c r="B62" s="7" t="n"/>
      <c r="C62" s="7" t="n"/>
      <c r="D62" s="7" t="n"/>
      <c r="E62" s="7" t="n"/>
      <c r="F62" s="7" t="n"/>
      <c r="G62" s="79" t="n"/>
      <c r="H62" s="7" t="n"/>
      <c r="I62" s="7" t="n"/>
      <c r="J62" s="7" t="n"/>
      <c r="K62" s="79" t="n"/>
      <c r="L62" s="7" t="n"/>
    </row>
    <row r="63" ht="15" customHeight="1" s="42"/>
    <row r="64" ht="15" customHeight="1" s="42"/>
  </sheetData>
  <autoFilter ref="A4:L64"/>
  <mergeCells count="2">
    <mergeCell ref="A2:L2"/>
    <mergeCell ref="A1:L1"/>
  </mergeCells>
  <dataValidations count="2">
    <dataValidation sqref="D5:D64" showDropDown="0" showInputMessage="0" showErrorMessage="0" allowBlank="1" errorTitle="填写值无效" error="请从下拉列表中选择标准值。" promptTitle="填写提示" prompt="请选择标准值。" type="list">
      <formula1>"未确认,讨论中,已确认,暂缓,取消"</formula1>
    </dataValidation>
    <dataValidation sqref="E5:E64" showDropDown="0" showInputMessage="0" showErrorMessage="0" allowBlank="1" errorTitle="选项无效" error="请从下拉选项中选择。" promptTitle="填写提示" prompt="请选择标准值。" type="list">
      <formula1>Opt_管理确认人</formula1>
    </dataValidation>
  </dataValidations>
  <pageMargins left="0.25" right="0.25" top="0.45" bottom="0.45" header="0.5" footer="0.5"/>
  <pageSetup orientation="landscape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13"/>
  <sheetViews>
    <sheetView showGridLines="0" zoomScale="90" zoomScaleNormal="90" workbookViewId="0">
      <pane ySplit="4" topLeftCell="A5" activePane="bottomLeft" state="frozen"/>
      <selection pane="bottomLeft" activeCell="B7" sqref="B7"/>
    </sheetView>
  </sheetViews>
  <sheetFormatPr baseColWidth="8" defaultColWidth="9" defaultRowHeight="14.4"/>
  <cols>
    <col width="20" customWidth="1" style="42" min="1" max="1"/>
    <col width="34" customWidth="1" style="42" min="2" max="2"/>
    <col width="48" customWidth="1" style="42" min="3" max="3"/>
    <col width="20" customWidth="1" style="42" min="4" max="4"/>
    <col width="18" customWidth="1" style="42" min="5" max="5"/>
  </cols>
  <sheetData>
    <row r="1" ht="30" customHeight="1" s="42">
      <c r="A1" s="66" t="inlineStr">
        <is>
          <t>06｜字段字典与RACI说明</t>
        </is>
      </c>
    </row>
    <row r="2" ht="24" customHeight="1" s="42">
      <c r="A2" s="41" t="inlineStr">
        <is>
          <t>本表用于说明字段含义、填写规则和RACI代码；组织架构名称以“02_组织单元”为准，岗位名称可按实际工作自定义。</t>
        </is>
      </c>
    </row>
    <row r="3" ht="8" customHeight="1" s="42"/>
    <row r="4" ht="30" customHeight="1" s="42">
      <c r="A4" s="51" t="inlineStr">
        <is>
          <t>字段/代码</t>
        </is>
      </c>
      <c r="B4" s="51" t="inlineStr">
        <is>
          <t>含义</t>
        </is>
      </c>
      <c r="C4" s="51" t="inlineStr">
        <is>
          <t>填写规则</t>
        </is>
      </c>
      <c r="D4" s="51" t="inlineStr">
        <is>
          <t>示例</t>
        </is>
      </c>
      <c r="E4" s="51" t="inlineStr">
        <is>
          <t>是否必填</t>
        </is>
      </c>
    </row>
    <row r="5" ht="24" customHeight="1" s="42">
      <c r="A5" s="55" t="inlineStr">
        <is>
          <t>员工ID</t>
        </is>
      </c>
      <c r="B5" s="55" t="inlineStr">
        <is>
          <t>人员唯一标识</t>
        </is>
      </c>
      <c r="C5" s="55" t="inlineStr">
        <is>
          <t>建议使用EMP-001格式；离职后不复用</t>
        </is>
      </c>
      <c r="D5" s="55" t="inlineStr">
        <is>
          <t>EMP-001</t>
        </is>
      </c>
      <c r="E5" s="55" t="inlineStr">
        <is>
          <t>是</t>
        </is>
      </c>
    </row>
    <row r="6" ht="24" customHeight="1" s="42">
      <c r="A6" s="48" t="inlineStr">
        <is>
          <t>组织单元ID</t>
        </is>
      </c>
      <c r="B6" s="48" t="inlineStr">
        <is>
          <t>部门/班组唯一标识</t>
        </is>
      </c>
      <c r="C6" s="48" t="inlineStr">
        <is>
          <t>建议使用ORG-生产-01格式；不使用简称代替</t>
        </is>
      </c>
      <c r="D6" s="48" t="inlineStr">
        <is>
          <t>ORG-PROD-01</t>
        </is>
      </c>
      <c r="E6" s="48" t="inlineStr">
        <is>
          <t>是</t>
        </is>
      </c>
    </row>
    <row r="7" ht="24" customHeight="1" s="42">
      <c r="A7" s="55" t="inlineStr">
        <is>
          <t>岗位ID</t>
        </is>
      </c>
      <c r="B7" s="55" t="inlineStr">
        <is>
          <t>岗位唯一标识</t>
        </is>
      </c>
      <c r="C7" s="55" t="inlineStr">
        <is>
          <t>建议使用POS-部门-序号格式</t>
        </is>
      </c>
      <c r="D7" s="55" t="inlineStr">
        <is>
          <t>POS-PROD-01</t>
        </is>
      </c>
      <c r="E7" s="55" t="inlineStr">
        <is>
          <t>是</t>
        </is>
      </c>
    </row>
    <row r="8" ht="24" customHeight="1" s="42">
      <c r="A8" s="48" t="inlineStr">
        <is>
          <t>上级员工ID</t>
        </is>
      </c>
      <c r="B8" s="48" t="inlineStr">
        <is>
          <t>直接汇报对象</t>
        </is>
      </c>
      <c r="C8" s="48" t="inlineStr">
        <is>
          <t>根节点留空；其他人员必须唯一对应一个上级</t>
        </is>
      </c>
      <c r="D8" s="48" t="inlineStr">
        <is>
          <t>EMP-001</t>
        </is>
      </c>
      <c r="E8" s="48" t="inlineStr">
        <is>
          <t>是（根节点除外）</t>
        </is>
      </c>
    </row>
    <row r="9" ht="24" customHeight="1" s="42">
      <c r="A9" s="55" t="inlineStr">
        <is>
          <t>A</t>
        </is>
      </c>
      <c r="B9" s="55" t="inlineStr">
        <is>
          <t>Accountable，最终负责/批准</t>
        </is>
      </c>
      <c r="C9" s="55" t="inlineStr">
        <is>
          <t>每项活动只能有1个A</t>
        </is>
      </c>
      <c r="D9" s="55" t="inlineStr">
        <is>
          <t>A</t>
        </is>
      </c>
      <c r="E9" s="55" t="inlineStr">
        <is>
          <t>是</t>
        </is>
      </c>
    </row>
    <row r="10" ht="24" customHeight="1" s="42">
      <c r="A10" s="48" t="inlineStr">
        <is>
          <t>R</t>
        </is>
      </c>
      <c r="B10" s="48" t="inlineStr">
        <is>
          <t>Responsible，执行责任</t>
        </is>
      </c>
      <c r="C10" s="48" t="inlineStr">
        <is>
          <t>每项活动至少1个R</t>
        </is>
      </c>
      <c r="D10" s="48" t="inlineStr">
        <is>
          <t>R</t>
        </is>
      </c>
      <c r="E10" s="48" t="inlineStr">
        <is>
          <t>是</t>
        </is>
      </c>
    </row>
    <row r="11" ht="24" customHeight="1" s="42">
      <c r="A11" s="55" t="inlineStr">
        <is>
          <t>C</t>
        </is>
      </c>
      <c r="B11" s="55" t="inlineStr">
        <is>
          <t>Consulted，事前咨询</t>
        </is>
      </c>
      <c r="C11" s="55" t="inlineStr">
        <is>
          <t>有双向沟通或专业意见输入</t>
        </is>
      </c>
      <c r="D11" s="55" t="inlineStr">
        <is>
          <t>C</t>
        </is>
      </c>
      <c r="E11" s="55" t="inlineStr">
        <is>
          <t>按需</t>
        </is>
      </c>
    </row>
    <row r="12" ht="24" customHeight="1" s="42">
      <c r="A12" s="48" t="inlineStr">
        <is>
          <t>I</t>
        </is>
      </c>
      <c r="B12" s="48" t="inlineStr">
        <is>
          <t>Informed，结果知会</t>
        </is>
      </c>
      <c r="C12" s="48" t="inlineStr">
        <is>
          <t>单向通知结果</t>
        </is>
      </c>
      <c r="D12" s="48" t="inlineStr">
        <is>
          <t>I</t>
        </is>
      </c>
      <c r="E12" s="48" t="inlineStr">
        <is>
          <t>按需</t>
        </is>
      </c>
    </row>
    <row r="13" ht="24" customHeight="1" s="42">
      <c r="A13" s="55" t="inlineStr">
        <is>
          <t>—</t>
        </is>
      </c>
      <c r="B13" s="55" t="inlineStr">
        <is>
          <t>不参与</t>
        </is>
      </c>
      <c r="C13" s="55" t="inlineStr">
        <is>
          <t>不属于该事项责任范围</t>
        </is>
      </c>
      <c r="D13" s="55" t="inlineStr">
        <is>
          <t>—</t>
        </is>
      </c>
      <c r="E13" s="55" t="inlineStr">
        <is>
          <t>按需</t>
        </is>
      </c>
    </row>
    <row r="14" ht="24" customHeight="1" s="42"/>
    <row r="15" ht="24" customHeight="1" s="42"/>
    <row r="16" ht="24" customHeight="1" s="42"/>
    <row r="17" ht="24" customHeight="1" s="42"/>
  </sheetData>
  <mergeCells count="2">
    <mergeCell ref="A2:E2"/>
    <mergeCell ref="A1:E1"/>
  </mergeCells>
  <pageMargins left="0.25" right="0.25" top="0.45" bottom="0.45" header="0.5" footer="0.5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workbookViewId="0">
      <selection activeCell="A1" sqref="A1"/>
    </sheetView>
  </sheetViews>
  <sheetFormatPr baseColWidth="8" defaultColWidth="9" defaultRowHeight="14.4"/>
  <cols>
    <col width="14" customWidth="1" style="42" min="1" max="14"/>
  </cols>
  <sheetData>
    <row r="1" ht="30" customHeight="1" s="42">
      <c r="A1" s="105" t="inlineStr">
        <is>
          <t>组织层级</t>
        </is>
      </c>
      <c r="B1" s="105" t="inlineStr">
        <is>
          <t>人员状态</t>
        </is>
      </c>
      <c r="C1" s="105" t="inlineStr">
        <is>
          <t>任职性质</t>
        </is>
      </c>
      <c r="D1" s="105" t="inlineStr">
        <is>
          <t>关键岗位</t>
        </is>
      </c>
      <c r="E1" s="105" t="inlineStr">
        <is>
          <t>组织类型</t>
        </is>
      </c>
      <c r="F1" s="105" t="inlineStr">
        <is>
          <t>组织状态</t>
        </is>
      </c>
      <c r="G1" s="105" t="inlineStr">
        <is>
          <t>岗位状态</t>
        </is>
      </c>
      <c r="H1" s="105" t="inlineStr">
        <is>
          <t>管理域</t>
        </is>
      </c>
      <c r="I1" s="105" t="inlineStr">
        <is>
          <t>RACI</t>
        </is>
      </c>
      <c r="J1" s="105" t="inlineStr">
        <is>
          <t>确认状态</t>
        </is>
      </c>
      <c r="K1" s="106" t="inlineStr">
        <is>
          <t>部门名称</t>
        </is>
      </c>
      <c r="L1" s="105" t="inlineStr">
        <is>
          <t>组织单元</t>
        </is>
      </c>
      <c r="M1" s="106" t="inlineStr">
        <is>
          <t>岗位名称</t>
        </is>
      </c>
      <c r="N1" s="106" t="inlineStr">
        <is>
          <t>管理确认人</t>
        </is>
      </c>
    </row>
    <row r="2" ht="24" customHeight="1" s="42">
      <c r="A2" s="95" t="inlineStr">
        <is>
          <t>公司负责人</t>
        </is>
      </c>
      <c r="B2" s="95" t="inlineStr">
        <is>
          <t>在岗</t>
        </is>
      </c>
      <c r="C2" s="95" t="inlineStr">
        <is>
          <t>正式员工</t>
        </is>
      </c>
      <c r="D2" s="95" t="inlineStr">
        <is>
          <t>是</t>
        </is>
      </c>
      <c r="E2" s="95" t="inlineStr">
        <is>
          <t>公司</t>
        </is>
      </c>
      <c r="F2" s="95" t="inlineStr">
        <is>
          <t>现行</t>
        </is>
      </c>
      <c r="G2" s="95" t="inlineStr">
        <is>
          <t>现行</t>
        </is>
      </c>
      <c r="H2" s="95" t="inlineStr">
        <is>
          <t>组织管理</t>
        </is>
      </c>
      <c r="I2" s="95" t="inlineStr">
        <is>
          <t>A</t>
        </is>
      </c>
      <c r="J2" s="95" t="inlineStr">
        <is>
          <t>未确认</t>
        </is>
      </c>
      <c r="K2" s="87" t="inlineStr">
        <is>
          <t>生产部</t>
        </is>
      </c>
      <c r="L2" s="95" t="inlineStr">
        <is>
          <t>惠州市鑫犇电子有限公司</t>
        </is>
      </c>
      <c r="M2" s="87" t="inlineStr">
        <is>
          <t>董事长</t>
        </is>
      </c>
      <c r="N2" s="87" t="inlineStr">
        <is>
          <t>董事长</t>
        </is>
      </c>
    </row>
    <row r="3" ht="8" customHeight="1" s="42">
      <c r="A3" s="95" t="inlineStr">
        <is>
          <t>部门负责人</t>
        </is>
      </c>
      <c r="B3" s="95" t="inlineStr">
        <is>
          <t>试用</t>
        </is>
      </c>
      <c r="C3" s="95" t="inlineStr">
        <is>
          <t>试用员工</t>
        </is>
      </c>
      <c r="D3" s="95" t="inlineStr">
        <is>
          <t>否</t>
        </is>
      </c>
      <c r="E3" s="95" t="inlineStr">
        <is>
          <t>部门</t>
        </is>
      </c>
      <c r="F3" s="95" t="inlineStr">
        <is>
          <t>筹备</t>
        </is>
      </c>
      <c r="G3" s="95" t="inlineStr">
        <is>
          <t>筹备</t>
        </is>
      </c>
      <c r="H3" s="95" t="inlineStr">
        <is>
          <t>经营管理</t>
        </is>
      </c>
      <c r="I3" s="95" t="inlineStr">
        <is>
          <t>R</t>
        </is>
      </c>
      <c r="J3" s="95" t="inlineStr">
        <is>
          <t>讨论中</t>
        </is>
      </c>
      <c r="K3" s="87" t="inlineStr">
        <is>
          <t>品质部</t>
        </is>
      </c>
      <c r="L3" s="95" t="inlineStr">
        <is>
          <t>总经理</t>
        </is>
      </c>
      <c r="M3" s="87" t="inlineStr">
        <is>
          <t>总经理</t>
        </is>
      </c>
      <c r="N3" s="87" t="inlineStr">
        <is>
          <t>总经理</t>
        </is>
      </c>
    </row>
    <row r="4" ht="30" customHeight="1" s="42">
      <c r="A4" s="107" t="inlineStr">
        <is>
          <t>班组长</t>
        </is>
      </c>
      <c r="B4" s="107" t="inlineStr">
        <is>
          <t>停薪留职</t>
        </is>
      </c>
      <c r="C4" s="107" t="inlineStr">
        <is>
          <t>兼职/兼任</t>
        </is>
      </c>
      <c r="D4" s="107" t="inlineStr">
        <is>
          <t>待确认</t>
        </is>
      </c>
      <c r="E4" s="107" t="inlineStr">
        <is>
          <t>班组</t>
        </is>
      </c>
      <c r="F4" s="107" t="inlineStr">
        <is>
          <t>规划</t>
        </is>
      </c>
      <c r="G4" s="107" t="inlineStr">
        <is>
          <t>规划</t>
        </is>
      </c>
      <c r="H4" s="107" t="inlineStr">
        <is>
          <t>客户/订单</t>
        </is>
      </c>
      <c r="I4" s="107" t="inlineStr">
        <is>
          <t>C</t>
        </is>
      </c>
      <c r="J4" s="107" t="inlineStr">
        <is>
          <t>已确认</t>
        </is>
      </c>
      <c r="K4" s="108" t="inlineStr">
        <is>
          <t>运营部</t>
        </is>
      </c>
      <c r="L4" s="107" t="inlineStr">
        <is>
          <t>生产部</t>
        </is>
      </c>
      <c r="M4" s="108" t="inlineStr">
        <is>
          <t>生产部负责人</t>
        </is>
      </c>
      <c r="N4" s="108" t="inlineStr">
        <is>
          <t>公司负责人</t>
        </is>
      </c>
    </row>
    <row r="5" ht="24" customHeight="1" s="42">
      <c r="A5" s="95" t="inlineStr">
        <is>
          <t>专业岗位</t>
        </is>
      </c>
      <c r="B5" s="95" t="inlineStr">
        <is>
          <t>离职交接</t>
        </is>
      </c>
      <c r="C5" s="95" t="inlineStr">
        <is>
          <t>外包/临时</t>
        </is>
      </c>
      <c r="E5" s="95" t="inlineStr">
        <is>
          <t>职能单元</t>
        </is>
      </c>
      <c r="F5" s="95" t="inlineStr">
        <is>
          <t>停用</t>
        </is>
      </c>
      <c r="G5" s="95" t="inlineStr">
        <is>
          <t>停用</t>
        </is>
      </c>
      <c r="H5" s="95" t="inlineStr">
        <is>
          <t>产品/技术</t>
        </is>
      </c>
      <c r="I5" s="95" t="inlineStr">
        <is>
          <t>I</t>
        </is>
      </c>
      <c r="J5" s="95" t="inlineStr">
        <is>
          <t>暂缓</t>
        </is>
      </c>
      <c r="K5" s="87" t="inlineStr">
        <is>
          <t>行政部</t>
        </is>
      </c>
      <c r="L5" s="95" t="inlineStr">
        <is>
          <t>工程技术组</t>
        </is>
      </c>
      <c r="M5" s="87" t="inlineStr">
        <is>
          <t>品质部负责人</t>
        </is>
      </c>
      <c r="N5" s="87" t="inlineStr">
        <is>
          <t>生产部负责人</t>
        </is>
      </c>
    </row>
    <row r="6" ht="24" customHeight="1" s="42">
      <c r="A6" s="95" t="inlineStr">
        <is>
          <t>操作岗位</t>
        </is>
      </c>
      <c r="B6" s="95" t="inlineStr">
        <is>
          <t>已离职</t>
        </is>
      </c>
      <c r="C6" s="95" t="inlineStr">
        <is>
          <t>待确认</t>
        </is>
      </c>
      <c r="E6" s="95" t="inlineStr">
        <is>
          <t>岗位单元</t>
        </is>
      </c>
      <c r="F6" s="95" t="inlineStr">
        <is>
          <t>待确认</t>
        </is>
      </c>
      <c r="G6" s="95" t="inlineStr">
        <is>
          <t>待确认</t>
        </is>
      </c>
      <c r="H6" s="95" t="inlineStr">
        <is>
          <t>生产</t>
        </is>
      </c>
      <c r="I6" s="95" t="inlineStr">
        <is>
          <t>—</t>
        </is>
      </c>
      <c r="J6" s="95" t="inlineStr">
        <is>
          <t>取消</t>
        </is>
      </c>
      <c r="K6" s="87" t="inlineStr">
        <is>
          <t>财务部</t>
        </is>
      </c>
      <c r="L6" s="95" t="inlineStr">
        <is>
          <t>生产车间</t>
        </is>
      </c>
      <c r="M6" s="87" t="inlineStr">
        <is>
          <t>运营部负责人</t>
        </is>
      </c>
      <c r="N6" s="87" t="inlineStr">
        <is>
          <t>品质部负责人</t>
        </is>
      </c>
    </row>
    <row r="7" ht="24" customHeight="1" s="42">
      <c r="A7" s="95" t="inlineStr">
        <is>
          <t>辅助岗位</t>
        </is>
      </c>
      <c r="B7" s="95" t="inlineStr">
        <is>
          <t>待确认</t>
        </is>
      </c>
      <c r="E7" s="95" t="inlineStr">
        <is>
          <t>项目组</t>
        </is>
      </c>
      <c r="H7" s="95" t="inlineStr">
        <is>
          <t>模具/设备</t>
        </is>
      </c>
      <c r="K7" s="87" t="inlineStr">
        <is>
          <t>公司治理</t>
        </is>
      </c>
      <c r="L7" s="95" t="inlineStr">
        <is>
          <t>模具维修组</t>
        </is>
      </c>
      <c r="M7" s="87" t="inlineStr">
        <is>
          <t>行政部负责人</t>
        </is>
      </c>
      <c r="N7" s="87" t="inlineStr">
        <is>
          <t>运营部负责人</t>
        </is>
      </c>
    </row>
    <row r="8" ht="24" customHeight="1" s="42">
      <c r="A8" s="95" t="inlineStr">
        <is>
          <t>待确认</t>
        </is>
      </c>
      <c r="E8" s="95" t="inlineStr">
        <is>
          <t>其他</t>
        </is>
      </c>
      <c r="H8" s="95" t="inlineStr">
        <is>
          <t>质量</t>
        </is>
      </c>
      <c r="K8" s="87" t="inlineStr">
        <is>
          <t>待确认</t>
        </is>
      </c>
      <c r="L8" s="95" t="inlineStr">
        <is>
          <t>品质部</t>
        </is>
      </c>
      <c r="M8" s="87" t="inlineStr">
        <is>
          <t>财务部负责人</t>
        </is>
      </c>
      <c r="N8" s="87" t="inlineStr">
        <is>
          <t>行政部负责人</t>
        </is>
      </c>
    </row>
    <row r="9" ht="24" customHeight="1" s="42">
      <c r="E9" s="95" t="inlineStr">
        <is>
          <t>科室</t>
        </is>
      </c>
      <c r="H9" s="95" t="inlineStr">
        <is>
          <t>行政/人事</t>
        </is>
      </c>
      <c r="L9" s="95" t="inlineStr">
        <is>
          <t>成品出货检验组</t>
        </is>
      </c>
      <c r="M9" s="87" t="inlineStr">
        <is>
          <t>品质经理</t>
        </is>
      </c>
      <c r="N9" s="87" t="inlineStr">
        <is>
          <t>财务部负责人</t>
        </is>
      </c>
    </row>
    <row r="10" ht="24" customHeight="1" s="42">
      <c r="H10" s="95" t="inlineStr">
        <is>
          <t>采购/供应商</t>
        </is>
      </c>
      <c r="L10" s="95" t="inlineStr">
        <is>
          <t>成品出货检验组</t>
        </is>
      </c>
      <c r="M10" s="87" t="inlineStr">
        <is>
          <t>工程</t>
        </is>
      </c>
      <c r="N10" s="87" t="inlineStr">
        <is>
          <t>待确认</t>
        </is>
      </c>
    </row>
    <row r="11" ht="24" customHeight="1" s="42">
      <c r="H11" s="95" t="inlineStr">
        <is>
          <t>交付</t>
        </is>
      </c>
      <c r="L11" s="95" t="inlineStr">
        <is>
          <t>运营部</t>
        </is>
      </c>
      <c r="M11" s="87" t="inlineStr">
        <is>
          <t>品检</t>
        </is>
      </c>
    </row>
    <row r="12" ht="24" customHeight="1" s="42">
      <c r="H12" s="95" t="inlineStr">
        <is>
          <t>改善/审核</t>
        </is>
      </c>
      <c r="L12" s="95" t="inlineStr">
        <is>
          <t>业务组</t>
        </is>
      </c>
      <c r="M12" s="87" t="inlineStr">
        <is>
          <t>质检</t>
        </is>
      </c>
    </row>
    <row r="13" ht="24" customHeight="1" s="42">
      <c r="H13" s="95" t="inlineStr">
        <is>
          <t>财务</t>
        </is>
      </c>
      <c r="L13" s="95" t="inlineStr">
        <is>
          <t>采购组</t>
        </is>
      </c>
      <c r="M13" s="87" t="inlineStr">
        <is>
          <t>巡检工</t>
        </is>
      </c>
    </row>
    <row r="14" ht="24" customHeight="1" s="42">
      <c r="H14" s="95" t="inlineStr">
        <is>
          <t>其他</t>
        </is>
      </c>
      <c r="L14" s="95" t="inlineStr">
        <is>
          <t>仓储组</t>
        </is>
      </c>
      <c r="M14" s="87" t="inlineStr">
        <is>
          <t>冲床操作工</t>
        </is>
      </c>
    </row>
    <row r="15" ht="24" customHeight="1" s="42">
      <c r="L15" s="95" t="inlineStr">
        <is>
          <t>行政部</t>
        </is>
      </c>
      <c r="M15" s="87" t="inlineStr">
        <is>
          <t>产品清洗工</t>
        </is>
      </c>
    </row>
    <row r="16" ht="24" customHeight="1" s="42">
      <c r="L16" s="95" t="inlineStr">
        <is>
          <t>人事组</t>
        </is>
      </c>
      <c r="M16" s="87" t="inlineStr">
        <is>
          <t>包装部</t>
        </is>
      </c>
    </row>
    <row r="17" ht="24" customHeight="1" s="42">
      <c r="L17" s="95" t="inlineStr">
        <is>
          <t>后勤组</t>
        </is>
      </c>
      <c r="M17" s="87" t="inlineStr">
        <is>
          <t>仓库</t>
        </is>
      </c>
    </row>
    <row r="18" ht="24" customHeight="1" s="42">
      <c r="L18" s="95" t="inlineStr">
        <is>
          <t>财务部</t>
        </is>
      </c>
      <c r="M18" s="87" t="inlineStr">
        <is>
          <t>模具维修技术工</t>
        </is>
      </c>
    </row>
    <row r="19" ht="24" customHeight="1" s="42">
      <c r="L19" s="95" t="inlineStr">
        <is>
          <t>会计组</t>
        </is>
      </c>
      <c r="M19" s="87" t="inlineStr">
        <is>
          <t>模具维修工</t>
        </is>
      </c>
    </row>
    <row r="20" ht="24" customHeight="1" s="42">
      <c r="L20" s="95" t="inlineStr">
        <is>
          <t>出纳组</t>
        </is>
      </c>
      <c r="M20" s="87" t="inlineStr">
        <is>
          <t>模具学徒</t>
        </is>
      </c>
    </row>
    <row r="21" ht="24" customHeight="1" s="42">
      <c r="L21" s="95" t="inlineStr">
        <is>
          <t>待确认</t>
        </is>
      </c>
      <c r="M21" s="87" t="inlineStr">
        <is>
          <t>办公文员</t>
        </is>
      </c>
    </row>
    <row r="22" ht="24" customHeight="1" s="42">
      <c r="M22" s="87" t="inlineStr">
        <is>
          <t>食堂</t>
        </is>
      </c>
    </row>
    <row r="23" ht="24" customHeight="1" s="42">
      <c r="M23" s="87" t="inlineStr">
        <is>
          <t>保安</t>
        </is>
      </c>
    </row>
    <row r="24" ht="24" customHeight="1" s="42">
      <c r="M24" s="87" t="inlineStr">
        <is>
          <t>门卫</t>
        </is>
      </c>
    </row>
    <row r="25" ht="24" customHeight="1" s="42">
      <c r="M25" s="87" t="inlineStr">
        <is>
          <t>财务</t>
        </is>
      </c>
    </row>
    <row r="26" ht="24" customHeight="1" s="42">
      <c r="M26" s="87" t="inlineStr">
        <is>
          <t>清洗主管</t>
        </is>
      </c>
    </row>
    <row r="27" ht="24" customHeight="1" s="42">
      <c r="M27" s="87" t="inlineStr">
        <is>
          <t>待确认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Hermes</dc:creator>
  <dc:title xmlns:dc="http://purl.org/dc/elements/1.1/">鑫犇电子有限公司组织架构与职责矩阵模板（已填组织架构）</dc:title>
  <dc:subject xmlns:dc="http://purl.org/dc/elements/1.1/">根据组织机构.xlsx填入组织单元和待确认事项</dc:subject>
  <dcterms:created xmlns:dcterms="http://purl.org/dc/terms/" xmlns:xsi="http://www.w3.org/2001/XMLSchema-instance" xsi:type="dcterms:W3CDTF">2026-09-30T08:23:00Z</dcterms:created>
  <dcterms:modified xmlns:dcterms="http://purl.org/dc/terms/" xmlns:xsi="http://www.w3.org/2001/XMLSchema-instance" xsi:type="dcterms:W3CDTF">2026-10-06T03:18:46Z</dcterms:modified>
  <cp:lastModifiedBy>minghan wang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39F8A4C343474E6C8D75B823A99168FA_13</vt:lpwstr>
  </property>
  <property name="KSOProductBuildVer" fmtid="{D5CDD505-2E9C-101B-9397-08002B2CF9AE}" pid="3">
    <vt:lpwstr xmlns:vt="http://schemas.openxmlformats.org/officeDocument/2006/docPropsVTypes">2052-12.1.0.29161</vt:lpwstr>
  </property>
  <property name="CalculationRule" fmtid="{D5CDD505-2E9C-101B-9397-08002B2CF9AE}" pid="4">
    <vt:i4 xmlns:vt="http://schemas.openxmlformats.org/officeDocument/2006/docPropsVTypes">0</vt:i4>
  </property>
</Properties>
</file>